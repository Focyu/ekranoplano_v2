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9c5ab1aea0217a/AIRSHIP/A1/AS_Model_MATLAB/"/>
    </mc:Choice>
  </mc:AlternateContent>
  <xr:revisionPtr revIDLastSave="12" documentId="14_{F110F51F-2656-41E0-B26C-2F1A0CEF6E3E}" xr6:coauthVersionLast="47" xr6:coauthVersionMax="47" xr10:uidLastSave="{13A6F15F-6FB6-4C86-BB8C-6526F42A7603}"/>
  <bookViews>
    <workbookView xWindow="-120" yWindow="-16320" windowWidth="29040" windowHeight="15720" xr2:uid="{00000000-000D-0000-FFFF-FFFF00000000}"/>
  </bookViews>
  <sheets>
    <sheet name="System Parameters" sheetId="1" r:id="rId1"/>
    <sheet name="L &amp; D Equations" sheetId="2" r:id="rId2"/>
    <sheet name="EQ - L &amp; D Equations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22" i="1" l="1"/>
  <c r="D21" i="1"/>
  <c r="D81" i="1"/>
  <c r="D79" i="1"/>
  <c r="D47" i="1"/>
</calcChain>
</file>

<file path=xl/sharedStrings.xml><?xml version="1.0" encoding="utf-8"?>
<sst xmlns="http://schemas.openxmlformats.org/spreadsheetml/2006/main" count="206" uniqueCount="147">
  <si>
    <t xml:space="preserve"> Values for: V5</t>
  </si>
  <si>
    <t>Parameter</t>
  </si>
  <si>
    <t>Symbol</t>
  </si>
  <si>
    <t>Unit</t>
  </si>
  <si>
    <t>Reference/Notes</t>
  </si>
  <si>
    <t>A-1</t>
  </si>
  <si>
    <t>Constants</t>
  </si>
  <si>
    <t xml:space="preserve">Air Density </t>
  </si>
  <si>
    <t>Weather conditions: ISA, Altitude: Sea level, Value ref: Manual of the ICAO Standard Atmosphere, 3rd Edition, ICAO, 1993</t>
  </si>
  <si>
    <t>Pi</t>
  </si>
  <si>
    <t>-</t>
  </si>
  <si>
    <t>Napier's constant</t>
  </si>
  <si>
    <t>Mass &amp; Inertia</t>
  </si>
  <si>
    <t>MTOW</t>
  </si>
  <si>
    <t>Estimates based on conceptual sizing equations and CFD in ANSYS Fluent</t>
  </si>
  <si>
    <t>x Position of CG</t>
  </si>
  <si>
    <t>The origin is set to the CG</t>
  </si>
  <si>
    <t>y Position of CG</t>
  </si>
  <si>
    <t xml:space="preserve">z Position of CG </t>
  </si>
  <si>
    <t>Inertia Matrix</t>
  </si>
  <si>
    <t>CI origin at the CG, xy-plane parallel with the cargo space floor, x-axis points forward parallel to the symmetry plane.
Values taken from SOLIDWORKS mass properties for a solid, custom density model that includes a cutout of the cargo space and extruded cargo boss.
Values for payload mass fraction = 0,32, empty weight mass fraction = 0,68</t>
  </si>
  <si>
    <t>Lifting Surfaces</t>
  </si>
  <si>
    <t>Wing MAC Length</t>
  </si>
  <si>
    <t>Wing Span</t>
  </si>
  <si>
    <t xml:space="preserve"> Wing Area</t>
  </si>
  <si>
    <t>Projected area that includes tiltplates in down-position</t>
  </si>
  <si>
    <t>Wing AR</t>
  </si>
  <si>
    <t>Wing TR</t>
  </si>
  <si>
    <t>Wing Oswald’s Efficiency Factor</t>
  </si>
  <si>
    <t>Wing Coordinates from CG</t>
  </si>
  <si>
    <t>HTP MAC Length</t>
  </si>
  <si>
    <t>HTP Span</t>
  </si>
  <si>
    <t>HTP Area</t>
  </si>
  <si>
    <t>HTP AR</t>
  </si>
  <si>
    <t>HTP TR</t>
  </si>
  <si>
    <t>HTP Oswald’s Efficiency Factor</t>
  </si>
  <si>
    <t>HTP Coordinates from CG</t>
  </si>
  <si>
    <t xml:space="preserve"> x Position of AC</t>
  </si>
  <si>
    <t>y Position of AC</t>
  </si>
  <si>
    <t>z Position of AC</t>
  </si>
  <si>
    <t>AOA</t>
  </si>
  <si>
    <t>-5,0…8,5</t>
  </si>
  <si>
    <t>Zero level parallel to cargo space floor</t>
  </si>
  <si>
    <t>Cruise AOA</t>
  </si>
  <si>
    <t>In cruise flight state with nominal mass and velocity</t>
  </si>
  <si>
    <t>Wing Stall AOA</t>
  </si>
  <si>
    <t>Stall angle of ideal Clark YM-18 -airfoil used at wing root</t>
  </si>
  <si>
    <t>Wing Zero Lift AOA</t>
  </si>
  <si>
    <t>HTP Zero Lift AOA</t>
  </si>
  <si>
    <t>Wing Angle of Incidence</t>
  </si>
  <si>
    <t>HTP Angle of Incidence</t>
  </si>
  <si>
    <t>HTP Downwash Angle</t>
  </si>
  <si>
    <t>The inclination of approaching air towards HTP</t>
  </si>
  <si>
    <t>Speed &amp; Altitude</t>
  </si>
  <si>
    <t>Cruise Speed</t>
  </si>
  <si>
    <t>Aproximated from the equation of lift: L = 1/2*rho*v^2*S*Cl</t>
  </si>
  <si>
    <t>Never Exceed Speed</t>
  </si>
  <si>
    <t>Used a general rule of thumb for scaling v_ne from v_c</t>
  </si>
  <si>
    <t>Efficient Cruise Flight Altitude</t>
  </si>
  <si>
    <t>Measured from CG</t>
  </si>
  <si>
    <t>Wing Efficient Cruise Flight Altitude</t>
  </si>
  <si>
    <t>Approximate from wing coordinates above</t>
  </si>
  <si>
    <t>Good luck with the geometry :) (Not needed when getting IGE CFD results)</t>
  </si>
  <si>
    <t>HTP Efficient Cruise Flight Altitude</t>
  </si>
  <si>
    <t>Approximate from HTP coordinates above</t>
  </si>
  <si>
    <t>CG Altitude from Surface</t>
  </si>
  <si>
    <t>0,495…10</t>
  </si>
  <si>
    <t>Min value absolute minimun distance from perfectly flat surface to the CG with a 0,005 m clearance</t>
  </si>
  <si>
    <t>Control Surfaces Limits/Saturation</t>
  </si>
  <si>
    <t>Aileron Deflection Angle</t>
  </si>
  <si>
    <t>+15/-20</t>
  </si>
  <si>
    <t>Elevator Deflection Angle</t>
  </si>
  <si>
    <t>+20/-20</t>
  </si>
  <si>
    <t>Rudder Deflection Angle</t>
  </si>
  <si>
    <t>+15/-15</t>
  </si>
  <si>
    <t>Throttle/Engines</t>
  </si>
  <si>
    <t>%</t>
  </si>
  <si>
    <t>Aerodynamic Coefficients</t>
  </si>
  <si>
    <t>Total Lift Coefficient</t>
  </si>
  <si>
    <t>Use equations in the "L &amp; D Equations" tab</t>
  </si>
  <si>
    <t xml:space="preserve">CC from ANSYS Fluent Analysis </t>
  </si>
  <si>
    <t>Total Drag Coefficient</t>
  </si>
  <si>
    <t>CC from ANSYS Fluent Analysis</t>
  </si>
  <si>
    <t>Zero Lift Drag Coefficient</t>
  </si>
  <si>
    <t>Elevator Lift Coefficient</t>
  </si>
  <si>
    <t>Elevator Drag Coefficient</t>
  </si>
  <si>
    <t>Side Forces Coefficient</t>
  </si>
  <si>
    <t>at CG, A-1 value from OpenVSP analysis and OGE for now, sideslip angle to be inserted in degrees</t>
  </si>
  <si>
    <t>Rolling Moment Coefficient</t>
  </si>
  <si>
    <t>at CG, A-1 value OGE for now, sideslip angle to be inserted in degrees</t>
  </si>
  <si>
    <t>Pitching Moment Coefficient</t>
  </si>
  <si>
    <t>at CG, A-1 value OGE for now, angle of attack to be inserted in degrees</t>
  </si>
  <si>
    <t xml:space="preserve"> Yawing Moment Coefficient</t>
  </si>
  <si>
    <t>Propulsion</t>
  </si>
  <si>
    <t>x Position of CT</t>
  </si>
  <si>
    <t>y Position of CT</t>
  </si>
  <si>
    <t>+0,6/-0,6</t>
  </si>
  <si>
    <t>Measured from CG, coordinates for both motors</t>
  </si>
  <si>
    <t>z Position of CT</t>
  </si>
  <si>
    <t>Thrust Vector Incidence</t>
  </si>
  <si>
    <t>The thrust vector incidence angle compared to cargo floor plane, positive angle direction is nose up</t>
  </si>
  <si>
    <t>Max Thrust</t>
  </si>
  <si>
    <t>Estimated with take-off thrust needed for similar sized seaplane NAX-4 CFD-results and Seastryder prototype test results</t>
  </si>
  <si>
    <t>Mechanical Torque Profile</t>
  </si>
  <si>
    <t>?</t>
  </si>
  <si>
    <t>Abbreviations/Subscripts</t>
  </si>
  <si>
    <t>Lift</t>
  </si>
  <si>
    <t>L</t>
  </si>
  <si>
    <t>Drag</t>
  </si>
  <si>
    <t>D</t>
  </si>
  <si>
    <t>Thrust</t>
  </si>
  <si>
    <t>T</t>
  </si>
  <si>
    <t>In Ground Effect</t>
  </si>
  <si>
    <t>IGE</t>
  </si>
  <si>
    <t>Out of Ground Effect</t>
  </si>
  <si>
    <t>OGE</t>
  </si>
  <si>
    <t>Wing</t>
  </si>
  <si>
    <t>w</t>
  </si>
  <si>
    <t>Horizontal Tailplane (HTP)</t>
  </si>
  <si>
    <t>h</t>
  </si>
  <si>
    <t>Elevator</t>
  </si>
  <si>
    <t>e</t>
  </si>
  <si>
    <t>Center of Gravity</t>
  </si>
  <si>
    <t>CG</t>
  </si>
  <si>
    <t>Center of Thrust</t>
  </si>
  <si>
    <t>CT</t>
  </si>
  <si>
    <t>Center of Inertia</t>
  </si>
  <si>
    <t>CI</t>
  </si>
  <si>
    <t>International Standard Atmosphere</t>
  </si>
  <si>
    <t>ISA</t>
  </si>
  <si>
    <t>Angle of Attack</t>
  </si>
  <si>
    <t>Aspect Ratio</t>
  </si>
  <si>
    <t>AR</t>
  </si>
  <si>
    <t>Taper Ratio</t>
  </si>
  <si>
    <t>TR</t>
  </si>
  <si>
    <t>Induced</t>
  </si>
  <si>
    <t>i</t>
  </si>
  <si>
    <t>Take-Off</t>
  </si>
  <si>
    <t>to</t>
  </si>
  <si>
    <t>Maximum Take Off Weight</t>
  </si>
  <si>
    <t>Mean Aerodynamic Chord</t>
  </si>
  <si>
    <t>MAC</t>
  </si>
  <si>
    <t>Reference:</t>
  </si>
  <si>
    <t>Phillips &amp; Hunsaker (2013) - Lifting-Line Predictions for Induced Drag and Lift in Ground Effect</t>
  </si>
  <si>
    <t>https://arc.aiaa.org/doi/10.2514/6.2013-2917</t>
  </si>
  <si>
    <t>Lift Equations:</t>
  </si>
  <si>
    <t>Drag Equations: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</si>
</sst>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4" borderId="15" xfId="0" applyFont="1" applyFill="1" applyBorder="1"/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left"/>
    </xf>
    <xf numFmtId="0" fontId="3" fillId="4" borderId="13" xfId="0" applyFont="1" applyFill="1" applyBorder="1"/>
    <xf numFmtId="0" fontId="3" fillId="4" borderId="13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left"/>
    </xf>
    <xf numFmtId="0" fontId="0" fillId="0" borderId="5" xfId="0" quotePrefix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4" fillId="4" borderId="15" xfId="0" quotePrefix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/>
    </xf>
    <xf numFmtId="0" fontId="0" fillId="2" borderId="21" xfId="0" applyFill="1" applyBorder="1"/>
    <xf numFmtId="0" fontId="0" fillId="2" borderId="10" xfId="0" applyFill="1" applyBorder="1" applyAlignment="1">
      <alignment horizontal="left"/>
    </xf>
    <xf numFmtId="0" fontId="0" fillId="0" borderId="8" xfId="0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1" fillId="2" borderId="21" xfId="0" applyFont="1" applyFill="1" applyBorder="1"/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3" borderId="21" xfId="0" applyFill="1" applyBorder="1" applyAlignment="1">
      <alignment horizontal="center"/>
    </xf>
    <xf numFmtId="0" fontId="0" fillId="3" borderId="21" xfId="0" applyFill="1" applyBorder="1"/>
    <xf numFmtId="0" fontId="0" fillId="3" borderId="10" xfId="0" applyFill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/>
    <xf numFmtId="0" fontId="0" fillId="0" borderId="13" xfId="0" applyBorder="1"/>
    <xf numFmtId="0" fontId="0" fillId="0" borderId="18" xfId="0" applyBorder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7" fillId="0" borderId="0" xfId="1" applyAlignment="1">
      <alignment vertical="center"/>
    </xf>
    <xf numFmtId="2" fontId="0" fillId="0" borderId="1" xfId="0" quotePrefix="1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5" borderId="0" xfId="0" applyFill="1"/>
    <xf numFmtId="0" fontId="1" fillId="3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4" borderId="14" xfId="0" quotePrefix="1" applyFont="1" applyFill="1" applyBorder="1" applyAlignment="1">
      <alignment horizontal="left" vertical="center"/>
    </xf>
    <xf numFmtId="0" fontId="4" fillId="4" borderId="17" xfId="0" applyFont="1" applyFill="1" applyBorder="1" applyAlignment="1">
      <alignment horizontal="left" vertical="center"/>
    </xf>
    <xf numFmtId="0" fontId="0" fillId="0" borderId="9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3" borderId="2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quotePrefix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4.png"/><Relationship Id="rId13" Type="http://schemas.openxmlformats.org/officeDocument/2006/relationships/image" Target="../media/image89.png"/><Relationship Id="rId3" Type="http://schemas.openxmlformats.org/officeDocument/2006/relationships/image" Target="../media/image79.png"/><Relationship Id="rId7" Type="http://schemas.openxmlformats.org/officeDocument/2006/relationships/image" Target="../media/image83.png"/><Relationship Id="rId12" Type="http://schemas.openxmlformats.org/officeDocument/2006/relationships/image" Target="../media/image88.png"/><Relationship Id="rId2" Type="http://schemas.openxmlformats.org/officeDocument/2006/relationships/image" Target="../media/image78.png"/><Relationship Id="rId16" Type="http://schemas.openxmlformats.org/officeDocument/2006/relationships/image" Target="../media/image92.png"/><Relationship Id="rId1" Type="http://schemas.openxmlformats.org/officeDocument/2006/relationships/image" Target="../media/image77.png"/><Relationship Id="rId6" Type="http://schemas.openxmlformats.org/officeDocument/2006/relationships/image" Target="../media/image82.png"/><Relationship Id="rId11" Type="http://schemas.openxmlformats.org/officeDocument/2006/relationships/image" Target="../media/image87.png"/><Relationship Id="rId5" Type="http://schemas.openxmlformats.org/officeDocument/2006/relationships/image" Target="../media/image81.png"/><Relationship Id="rId15" Type="http://schemas.openxmlformats.org/officeDocument/2006/relationships/image" Target="../media/image91.png"/><Relationship Id="rId10" Type="http://schemas.openxmlformats.org/officeDocument/2006/relationships/image" Target="../media/image86.png"/><Relationship Id="rId4" Type="http://schemas.openxmlformats.org/officeDocument/2006/relationships/image" Target="../media/image80.png"/><Relationship Id="rId9" Type="http://schemas.openxmlformats.org/officeDocument/2006/relationships/image" Target="../media/image85.png"/><Relationship Id="rId14" Type="http://schemas.openxmlformats.org/officeDocument/2006/relationships/image" Target="../media/image9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228351</xdr:colOff>
      <xdr:row>55</xdr:row>
      <xdr:rowOff>8532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1C00F55-E4F1-28B5-0885-B59E318BD2DF}"/>
            </a:ext>
          </a:extLst>
        </xdr:cNvPr>
        <xdr:cNvSpPr txBox="1"/>
      </xdr:nvSpPr>
      <xdr:spPr>
        <a:xfrm>
          <a:off x="2746264" y="987311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sr-Latn-RS" sz="1100"/>
        </a:p>
      </xdr:txBody>
    </xdr:sp>
    <xdr:clientData/>
  </xdr:oneCellAnchor>
  <xdr:twoCellAnchor editAs="oneCell">
    <xdr:from>
      <xdr:col>3</xdr:col>
      <xdr:colOff>0</xdr:colOff>
      <xdr:row>71</xdr:row>
      <xdr:rowOff>4523</xdr:rowOff>
    </xdr:from>
    <xdr:to>
      <xdr:col>4</xdr:col>
      <xdr:colOff>2836</xdr:colOff>
      <xdr:row>74</xdr:row>
      <xdr:rowOff>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60CFD7D7-1F2C-C79A-6A7B-35305B25D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0615" y="13530023"/>
          <a:ext cx="2962913" cy="56697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</xdr:row>
      <xdr:rowOff>188926</xdr:rowOff>
    </xdr:from>
    <xdr:to>
      <xdr:col>4</xdr:col>
      <xdr:colOff>2836</xdr:colOff>
      <xdr:row>77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34CDFE5-6852-D5A1-A946-6D2B07C10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0615" y="14095426"/>
          <a:ext cx="2962913" cy="5730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1508</xdr:rowOff>
    </xdr:from>
    <xdr:to>
      <xdr:col>3</xdr:col>
      <xdr:colOff>1351</xdr:colOff>
      <xdr:row>7</xdr:row>
      <xdr:rowOff>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80B64C56-D1A1-A7FA-F9C9-10EACDE48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47192" y="1144508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1508</xdr:rowOff>
    </xdr:from>
    <xdr:to>
      <xdr:col>3</xdr:col>
      <xdr:colOff>1351</xdr:colOff>
      <xdr:row>8</xdr:row>
      <xdr:rowOff>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3CD9F967-9253-C306-132C-E50C90D70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47192" y="1335008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1508</xdr:rowOff>
    </xdr:from>
    <xdr:to>
      <xdr:col>3</xdr:col>
      <xdr:colOff>1351</xdr:colOff>
      <xdr:row>9</xdr:row>
      <xdr:rowOff>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2DA0F0FA-0A61-F324-0922-487D6F79E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7192" y="1525508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1351</xdr:colOff>
      <xdr:row>11</xdr:row>
      <xdr:rowOff>169942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DB0E2EA6-048C-1DA4-C6B0-5DE24D9CB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47192" y="2095500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1</xdr:col>
      <xdr:colOff>2196726</xdr:colOff>
      <xdr:row>11</xdr:row>
      <xdr:rowOff>185911</xdr:rowOff>
    </xdr:from>
    <xdr:to>
      <xdr:col>3</xdr:col>
      <xdr:colOff>0</xdr:colOff>
      <xdr:row>13</xdr:row>
      <xdr:rowOff>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F6F0E4D1-9C96-A747-4E32-1DD0856C6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45841" y="22814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185911</xdr:rowOff>
    </xdr:from>
    <xdr:to>
      <xdr:col>3</xdr:col>
      <xdr:colOff>1351</xdr:colOff>
      <xdr:row>14</xdr:row>
      <xdr:rowOff>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DD61E9EB-870F-79EE-8EBB-3346E612A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7192" y="24719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3</xdr:col>
      <xdr:colOff>1351</xdr:colOff>
      <xdr:row>18</xdr:row>
      <xdr:rowOff>1590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8D8B0728-1E4A-E3ED-386F-724D2C7E0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47192" y="2667000"/>
          <a:ext cx="719390" cy="7559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3</xdr:col>
      <xdr:colOff>1351</xdr:colOff>
      <xdr:row>19</xdr:row>
      <xdr:rowOff>169942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1D539A12-CEA7-5B9C-C02E-E257D7680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47192" y="3619500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185911</xdr:rowOff>
    </xdr:from>
    <xdr:to>
      <xdr:col>3</xdr:col>
      <xdr:colOff>1351</xdr:colOff>
      <xdr:row>21</xdr:row>
      <xdr:rowOff>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3135DCEA-818D-B7B0-7673-61FCF8BF0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47192" y="38054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185911</xdr:rowOff>
    </xdr:from>
    <xdr:to>
      <xdr:col>3</xdr:col>
      <xdr:colOff>1351</xdr:colOff>
      <xdr:row>22</xdr:row>
      <xdr:rowOff>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9C7F9CC7-A9AB-2CC3-D520-9054736CA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47192" y="39959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1508</xdr:rowOff>
    </xdr:from>
    <xdr:to>
      <xdr:col>3</xdr:col>
      <xdr:colOff>1351</xdr:colOff>
      <xdr:row>23</xdr:row>
      <xdr:rowOff>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733371EF-A297-F0E3-CE61-F5675D93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47192" y="4192508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1351</xdr:colOff>
      <xdr:row>23</xdr:row>
      <xdr:rowOff>169942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4D682D93-24F1-C23C-C892-F915AF233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47192" y="4381500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185911</xdr:rowOff>
    </xdr:from>
    <xdr:to>
      <xdr:col>3</xdr:col>
      <xdr:colOff>1351</xdr:colOff>
      <xdr:row>25</xdr:row>
      <xdr:rowOff>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1BE0F92D-C80A-798D-37AD-5470E7A42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47192" y="45674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4745</xdr:colOff>
      <xdr:row>24</xdr:row>
      <xdr:rowOff>185911</xdr:rowOff>
    </xdr:from>
    <xdr:to>
      <xdr:col>3</xdr:col>
      <xdr:colOff>0</xdr:colOff>
      <xdr:row>26</xdr:row>
      <xdr:rowOff>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D871C353-3BD3-3857-9E9D-41F2C3BFB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51937" y="4757911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4745</xdr:colOff>
      <xdr:row>26</xdr:row>
      <xdr:rowOff>0</xdr:rowOff>
    </xdr:from>
    <xdr:to>
      <xdr:col>3</xdr:col>
      <xdr:colOff>0</xdr:colOff>
      <xdr:row>26</xdr:row>
      <xdr:rowOff>169942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967E4276-7718-A307-E3E8-B38092CF5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51937" y="49530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1508</xdr:rowOff>
    </xdr:from>
    <xdr:to>
      <xdr:col>3</xdr:col>
      <xdr:colOff>1351</xdr:colOff>
      <xdr:row>28</xdr:row>
      <xdr:rowOff>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F5EDECA2-B154-0E07-EA71-FDA3F6CCF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47192" y="5145008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185911</xdr:rowOff>
    </xdr:from>
    <xdr:to>
      <xdr:col>3</xdr:col>
      <xdr:colOff>1351</xdr:colOff>
      <xdr:row>29</xdr:row>
      <xdr:rowOff>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8B75BB11-FF46-F7A8-29B3-28E65B24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47192" y="53294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185911</xdr:rowOff>
    </xdr:from>
    <xdr:to>
      <xdr:col>3</xdr:col>
      <xdr:colOff>1351</xdr:colOff>
      <xdr:row>30</xdr:row>
      <xdr:rowOff>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63542029-834E-7E89-CBED-487A7FDE2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47192" y="55199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1508</xdr:rowOff>
    </xdr:from>
    <xdr:to>
      <xdr:col>3</xdr:col>
      <xdr:colOff>1351</xdr:colOff>
      <xdr:row>31</xdr:row>
      <xdr:rowOff>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B115E4E1-FF91-52FD-D437-143A10DD9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47192" y="5716508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3</xdr:col>
      <xdr:colOff>1351</xdr:colOff>
      <xdr:row>31</xdr:row>
      <xdr:rowOff>169942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AF59BB6B-230B-B3FB-8F46-2D4B4BB92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47192" y="5905500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4745</xdr:colOff>
      <xdr:row>31</xdr:row>
      <xdr:rowOff>185911</xdr:rowOff>
    </xdr:from>
    <xdr:to>
      <xdr:col>3</xdr:col>
      <xdr:colOff>0</xdr:colOff>
      <xdr:row>33</xdr:row>
      <xdr:rowOff>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4F2C8169-38D8-1079-229D-5054C0495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51937" y="6091411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185911</xdr:rowOff>
    </xdr:from>
    <xdr:to>
      <xdr:col>3</xdr:col>
      <xdr:colOff>1351</xdr:colOff>
      <xdr:row>34</xdr:row>
      <xdr:rowOff>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6EF5848F-382D-7661-0C45-255E70107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47192" y="62819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</xdr:col>
      <xdr:colOff>1351</xdr:colOff>
      <xdr:row>34</xdr:row>
      <xdr:rowOff>169942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DC123DD5-955E-D065-E66D-C3610F7D4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47192" y="6477000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3</xdr:col>
      <xdr:colOff>1351</xdr:colOff>
      <xdr:row>35</xdr:row>
      <xdr:rowOff>169942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60ED06B5-5B95-970F-3EE1-0DE8251F7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47192" y="6667500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1508</xdr:rowOff>
    </xdr:from>
    <xdr:to>
      <xdr:col>3</xdr:col>
      <xdr:colOff>1351</xdr:colOff>
      <xdr:row>37</xdr:row>
      <xdr:rowOff>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39322620-59B1-A37F-4A0B-78A0E2087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47192" y="6859508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1351</xdr:colOff>
      <xdr:row>38</xdr:row>
      <xdr:rowOff>19829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26EC2942-B751-8841-3BF7-26B0AB7AC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47192" y="7048500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1351</xdr:colOff>
      <xdr:row>38</xdr:row>
      <xdr:rowOff>169942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FA35E44-817B-D134-5BC8-7FD175280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47192" y="7239000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1508</xdr:rowOff>
    </xdr:from>
    <xdr:to>
      <xdr:col>3</xdr:col>
      <xdr:colOff>1351</xdr:colOff>
      <xdr:row>40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491B5359-EDD6-4C47-E8EB-CC0D21D88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47192" y="7431008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4745</xdr:colOff>
      <xdr:row>39</xdr:row>
      <xdr:rowOff>185911</xdr:rowOff>
    </xdr:from>
    <xdr:to>
      <xdr:col>3</xdr:col>
      <xdr:colOff>0</xdr:colOff>
      <xdr:row>41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D190FD61-366C-16D1-BC01-45480A124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51937" y="7615411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185911</xdr:rowOff>
    </xdr:from>
    <xdr:to>
      <xdr:col>3</xdr:col>
      <xdr:colOff>1351</xdr:colOff>
      <xdr:row>42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BB747EC7-063D-72B7-F8E4-8C553789E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47192" y="78059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3</xdr:col>
      <xdr:colOff>1351</xdr:colOff>
      <xdr:row>42</xdr:row>
      <xdr:rowOff>169942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23FE091-369A-1384-1381-9C511BEAF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47192" y="8001000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3</xdr:col>
      <xdr:colOff>1351</xdr:colOff>
      <xdr:row>43</xdr:row>
      <xdr:rowOff>169942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9893A421-ACD6-1DAE-6EF5-EF8B90FBF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47192" y="8191500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3</xdr:col>
      <xdr:colOff>1351</xdr:colOff>
      <xdr:row>46</xdr:row>
      <xdr:rowOff>19829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5E865288-7EFF-09F0-9022-33DEB129D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47192" y="8572500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3</xdr:col>
      <xdr:colOff>1351</xdr:colOff>
      <xdr:row>46</xdr:row>
      <xdr:rowOff>169942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8D63BD84-0770-3B4F-ADCC-C66ECADC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47192" y="8763000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3</xdr:col>
      <xdr:colOff>1351</xdr:colOff>
      <xdr:row>47</xdr:row>
      <xdr:rowOff>169942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2B02FC63-04DC-0764-7B5B-7EC17531C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47192" y="8953500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3</xdr:col>
      <xdr:colOff>1351</xdr:colOff>
      <xdr:row>49</xdr:row>
      <xdr:rowOff>19829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BECB09F-86E1-EDF0-20E3-E7C65A343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47192" y="9144000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3</xdr:col>
      <xdr:colOff>1351</xdr:colOff>
      <xdr:row>50</xdr:row>
      <xdr:rowOff>19829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0C56296-1D65-A58C-6E0D-0D0E9CB2C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447192" y="9334500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3</xdr:col>
      <xdr:colOff>1351</xdr:colOff>
      <xdr:row>50</xdr:row>
      <xdr:rowOff>169942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81DFE3D-377E-14F0-A1DF-0B2886B18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47192" y="9525000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185911</xdr:rowOff>
    </xdr:from>
    <xdr:to>
      <xdr:col>3</xdr:col>
      <xdr:colOff>1351</xdr:colOff>
      <xdr:row>53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FF58E187-3D3D-B0E1-FA8D-EB130BAFF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447192" y="99014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185911</xdr:rowOff>
    </xdr:from>
    <xdr:to>
      <xdr:col>3</xdr:col>
      <xdr:colOff>1351</xdr:colOff>
      <xdr:row>54</xdr:row>
      <xdr:rowOff>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FF9AB5F3-396B-B72D-1E58-56FF04B24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47192" y="100919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185911</xdr:rowOff>
    </xdr:from>
    <xdr:to>
      <xdr:col>3</xdr:col>
      <xdr:colOff>1351</xdr:colOff>
      <xdr:row>55</xdr:row>
      <xdr:rowOff>1523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AD030EF2-4EDC-76FE-2895-E63FC0BD2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447192" y="10282411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188926</xdr:rowOff>
    </xdr:from>
    <xdr:to>
      <xdr:col>3</xdr:col>
      <xdr:colOff>1351</xdr:colOff>
      <xdr:row>59</xdr:row>
      <xdr:rowOff>3015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1570EDFA-A9C8-6D05-9E81-FF7AD24C2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47192" y="10856926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188926</xdr:rowOff>
    </xdr:from>
    <xdr:to>
      <xdr:col>3</xdr:col>
      <xdr:colOff>1351</xdr:colOff>
      <xdr:row>59</xdr:row>
      <xdr:rowOff>174083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DA9C972-C0C0-FEA6-1047-105245912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447192" y="11047426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188926</xdr:rowOff>
    </xdr:from>
    <xdr:to>
      <xdr:col>3</xdr:col>
      <xdr:colOff>1351</xdr:colOff>
      <xdr:row>60</xdr:row>
      <xdr:rowOff>174083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224400CF-1EC2-DAA1-B460-3C2FA908A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447192" y="11237926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188926</xdr:rowOff>
    </xdr:from>
    <xdr:to>
      <xdr:col>3</xdr:col>
      <xdr:colOff>1351</xdr:colOff>
      <xdr:row>63</xdr:row>
      <xdr:rowOff>1507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12044AF9-4B09-0201-4958-CD35C878E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447192" y="11428426"/>
          <a:ext cx="719390" cy="3840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188926</xdr:rowOff>
    </xdr:from>
    <xdr:to>
      <xdr:col>3</xdr:col>
      <xdr:colOff>1351</xdr:colOff>
      <xdr:row>65</xdr:row>
      <xdr:rowOff>3031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3EA24C7F-4279-389D-55BB-DC1AF2FF0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47192" y="11809426"/>
          <a:ext cx="719390" cy="3779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188926</xdr:rowOff>
    </xdr:from>
    <xdr:to>
      <xdr:col>3</xdr:col>
      <xdr:colOff>1351</xdr:colOff>
      <xdr:row>68</xdr:row>
      <xdr:rowOff>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7AE86D2A-2D3A-583D-966E-3BEAD89BC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447192" y="12190426"/>
          <a:ext cx="719390" cy="5730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188926</xdr:rowOff>
    </xdr:from>
    <xdr:to>
      <xdr:col>3</xdr:col>
      <xdr:colOff>1351</xdr:colOff>
      <xdr:row>71</xdr:row>
      <xdr:rowOff>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778F7CF4-8CCF-C7CF-92BC-1D0AA3640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447192" y="12761926"/>
          <a:ext cx="719390" cy="5730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188926</xdr:rowOff>
    </xdr:from>
    <xdr:to>
      <xdr:col>3</xdr:col>
      <xdr:colOff>1351</xdr:colOff>
      <xdr:row>74</xdr:row>
      <xdr:rowOff>1523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DB07CBEE-E3C9-7339-20FD-8EA2416E5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447192" y="13333426"/>
          <a:ext cx="719390" cy="56697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188926</xdr:rowOff>
    </xdr:from>
    <xdr:to>
      <xdr:col>3</xdr:col>
      <xdr:colOff>1351</xdr:colOff>
      <xdr:row>77</xdr:row>
      <xdr:rowOff>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E63CDAE0-B3DD-EE00-0C1D-B647B6E6F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447192" y="13904926"/>
          <a:ext cx="719390" cy="5730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185911</xdr:rowOff>
    </xdr:from>
    <xdr:to>
      <xdr:col>3</xdr:col>
      <xdr:colOff>1351</xdr:colOff>
      <xdr:row>79</xdr:row>
      <xdr:rowOff>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BB2D0BC9-18F2-38E5-E428-EE112A8E9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447192" y="146639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185911</xdr:rowOff>
    </xdr:from>
    <xdr:to>
      <xdr:col>3</xdr:col>
      <xdr:colOff>1351</xdr:colOff>
      <xdr:row>80</xdr:row>
      <xdr:rowOff>1523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1B483E75-4CA4-4AC9-DF54-EA77E5941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447192" y="14854411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185911</xdr:rowOff>
    </xdr:from>
    <xdr:to>
      <xdr:col>3</xdr:col>
      <xdr:colOff>1351</xdr:colOff>
      <xdr:row>81</xdr:row>
      <xdr:rowOff>1523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960D5C82-6A99-AE9B-0C13-633602B70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447192" y="15044911"/>
          <a:ext cx="719390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185911</xdr:rowOff>
    </xdr:from>
    <xdr:to>
      <xdr:col>3</xdr:col>
      <xdr:colOff>1351</xdr:colOff>
      <xdr:row>82</xdr:row>
      <xdr:rowOff>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C9F464A7-BBD4-5678-1C2A-869BF88D9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447192" y="152354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185911</xdr:rowOff>
    </xdr:from>
    <xdr:to>
      <xdr:col>3</xdr:col>
      <xdr:colOff>1351</xdr:colOff>
      <xdr:row>83</xdr:row>
      <xdr:rowOff>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E66403DD-6688-EB3F-ACAD-AEF4302D7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447192" y="15425911"/>
          <a:ext cx="719390" cy="195089"/>
        </a:xfrm>
        <a:prstGeom prst="rect">
          <a:avLst/>
        </a:prstGeom>
      </xdr:spPr>
    </xdr:pic>
    <xdr:clientData/>
  </xdr:twoCellAnchor>
  <xdr:twoCellAnchor editAs="oneCell">
    <xdr:from>
      <xdr:col>3</xdr:col>
      <xdr:colOff>8976</xdr:colOff>
      <xdr:row>13</xdr:row>
      <xdr:rowOff>171450</xdr:rowOff>
    </xdr:from>
    <xdr:to>
      <xdr:col>4</xdr:col>
      <xdr:colOff>15240</xdr:colOff>
      <xdr:row>17</xdr:row>
      <xdr:rowOff>174945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9B874571-4611-8DD8-8466-87AE01419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257001" y="2543175"/>
          <a:ext cx="3044739" cy="7369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4</xdr:col>
      <xdr:colOff>2836</xdr:colOff>
      <xdr:row>26</xdr:row>
      <xdr:rowOff>19829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6E8F8734-6EA2-11B8-9B1D-5BFFB0AF3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630615" y="4762500"/>
          <a:ext cx="2962913" cy="19508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4</xdr:col>
      <xdr:colOff>2836</xdr:colOff>
      <xdr:row>33</xdr:row>
      <xdr:rowOff>19829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6FFE27A3-8ED9-BC52-3550-A0AA81BBB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630615" y="6096000"/>
          <a:ext cx="2962913" cy="1950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3015</xdr:rowOff>
    </xdr:from>
    <xdr:to>
      <xdr:col>3</xdr:col>
      <xdr:colOff>1351</xdr:colOff>
      <xdr:row>57</xdr:row>
      <xdr:rowOff>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27AA1DCF-6C83-D206-B34D-24C85F090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447192" y="10480515"/>
          <a:ext cx="719390" cy="37798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1317232</xdr:colOff>
      <xdr:row>56</xdr:row>
      <xdr:rowOff>174150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D77996E9-E6DA-6243-F82C-74C44AAF1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525250" y="10477500"/>
          <a:ext cx="1322947" cy="377985"/>
        </a:xfrm>
        <a:prstGeom prst="rect">
          <a:avLst/>
        </a:prstGeom>
      </xdr:spPr>
    </xdr:pic>
    <xdr:clientData/>
  </xdr:twoCellAnchor>
  <xdr:twoCellAnchor editAs="oneCell">
    <xdr:from>
      <xdr:col>3</xdr:col>
      <xdr:colOff>3261</xdr:colOff>
      <xdr:row>55</xdr:row>
      <xdr:rowOff>0</xdr:rowOff>
    </xdr:from>
    <xdr:to>
      <xdr:col>4</xdr:col>
      <xdr:colOff>0</xdr:colOff>
      <xdr:row>57</xdr:row>
      <xdr:rowOff>3081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E6E1732C-20D5-D16F-7450-4A53C1100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633876" y="10477500"/>
          <a:ext cx="2956816" cy="3840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</xdr:row>
      <xdr:rowOff>3015</xdr:rowOff>
    </xdr:from>
    <xdr:to>
      <xdr:col>4</xdr:col>
      <xdr:colOff>2836</xdr:colOff>
      <xdr:row>63</xdr:row>
      <xdr:rowOff>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BA12E8AA-4BDB-24EB-565B-C6429537E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630615" y="11623515"/>
          <a:ext cx="2962913" cy="37798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</xdr:row>
      <xdr:rowOff>188926</xdr:rowOff>
    </xdr:from>
    <xdr:to>
      <xdr:col>4</xdr:col>
      <xdr:colOff>2836</xdr:colOff>
      <xdr:row>71</xdr:row>
      <xdr:rowOff>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F73CCEFA-C5B5-A90F-2D2A-6B5D3F0EB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630615" y="12952426"/>
          <a:ext cx="2962913" cy="573074"/>
        </a:xfrm>
        <a:prstGeom prst="rect">
          <a:avLst/>
        </a:prstGeom>
      </xdr:spPr>
    </xdr:pic>
    <xdr:clientData/>
  </xdr:twoCellAnchor>
  <xdr:twoCellAnchor editAs="oneCell">
    <xdr:from>
      <xdr:col>3</xdr:col>
      <xdr:colOff>3261</xdr:colOff>
      <xdr:row>63</xdr:row>
      <xdr:rowOff>3015</xdr:rowOff>
    </xdr:from>
    <xdr:to>
      <xdr:col>4</xdr:col>
      <xdr:colOff>0</xdr:colOff>
      <xdr:row>65</xdr:row>
      <xdr:rowOff>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F0BB530D-0A44-9259-4C4F-BB6CC05FB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633876" y="12004515"/>
          <a:ext cx="2956816" cy="377985"/>
        </a:xfrm>
        <a:prstGeom prst="rect">
          <a:avLst/>
        </a:prstGeom>
      </xdr:spPr>
    </xdr:pic>
    <xdr:clientData/>
  </xdr:twoCellAnchor>
  <xdr:twoCellAnchor editAs="oneCell">
    <xdr:from>
      <xdr:col>3</xdr:col>
      <xdr:colOff>3261</xdr:colOff>
      <xdr:row>65</xdr:row>
      <xdr:rowOff>0</xdr:rowOff>
    </xdr:from>
    <xdr:to>
      <xdr:col>4</xdr:col>
      <xdr:colOff>0</xdr:colOff>
      <xdr:row>68</xdr:row>
      <xdr:rowOff>1574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59358432-A4F9-0EC5-351C-27CA90E15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633876" y="12382500"/>
          <a:ext cx="2956816" cy="57307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1508</xdr:rowOff>
    </xdr:from>
    <xdr:to>
      <xdr:col>4</xdr:col>
      <xdr:colOff>707579</xdr:colOff>
      <xdr:row>7</xdr:row>
      <xdr:rowOff>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F964FC18-4FFD-9F91-8C45-90F3F6A8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807212" y="1144508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10</xdr:row>
      <xdr:rowOff>1508</xdr:rowOff>
    </xdr:from>
    <xdr:to>
      <xdr:col>4</xdr:col>
      <xdr:colOff>739140</xdr:colOff>
      <xdr:row>11</xdr:row>
      <xdr:rowOff>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D48A0B77-0412-E1D4-749E-4498BB2FC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811956" y="1906508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184681</xdr:rowOff>
    </xdr:from>
    <xdr:to>
      <xdr:col>4</xdr:col>
      <xdr:colOff>784804</xdr:colOff>
      <xdr:row>12</xdr:row>
      <xdr:rowOff>293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FDE7B801-1C85-7E92-1C01-E4104A9C4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4629" y="2089681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1508</xdr:rowOff>
    </xdr:from>
    <xdr:to>
      <xdr:col>4</xdr:col>
      <xdr:colOff>707579</xdr:colOff>
      <xdr:row>13</xdr:row>
      <xdr:rowOff>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D7886292-C5B4-9BEF-58E4-147832CA4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7212" y="2287508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707579</xdr:colOff>
      <xdr:row>13</xdr:row>
      <xdr:rowOff>169942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60A60F16-2381-9311-3574-B4B4EAAE7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7212" y="24765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19</xdr:row>
      <xdr:rowOff>1508</xdr:rowOff>
    </xdr:from>
    <xdr:to>
      <xdr:col>4</xdr:col>
      <xdr:colOff>739140</xdr:colOff>
      <xdr:row>20</xdr:row>
      <xdr:rowOff>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A414423A-4B89-B14B-2D3A-F5BCA760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11956" y="3621008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703769</xdr:colOff>
      <xdr:row>20</xdr:row>
      <xdr:rowOff>173752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B8C9311D-D6E1-2875-E1A3-B2BAB5C54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296025" y="3648075"/>
          <a:ext cx="703769" cy="17375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1508</xdr:rowOff>
    </xdr:from>
    <xdr:to>
      <xdr:col>4</xdr:col>
      <xdr:colOff>707579</xdr:colOff>
      <xdr:row>26</xdr:row>
      <xdr:rowOff>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DF4F3DF7-588F-0F6B-DAA9-91145DF3D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7212" y="4764008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707579</xdr:colOff>
      <xdr:row>26</xdr:row>
      <xdr:rowOff>169942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5E8A72F9-8E6D-37FE-E96D-236232D96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7212" y="49530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707579</xdr:colOff>
      <xdr:row>27</xdr:row>
      <xdr:rowOff>169942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EC5A8CDA-B66F-CDA8-283B-FDFE35453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7212" y="51435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707579</xdr:colOff>
      <xdr:row>32</xdr:row>
      <xdr:rowOff>169942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F054A5F2-D6A0-F3F8-C860-B4026A9B6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7212" y="60960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1508</xdr:rowOff>
    </xdr:from>
    <xdr:to>
      <xdr:col>4</xdr:col>
      <xdr:colOff>707579</xdr:colOff>
      <xdr:row>34</xdr:row>
      <xdr:rowOff>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C3A1F2C5-D9C5-AAEC-DDB7-9C6AEFCDD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7212" y="6288008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707579</xdr:colOff>
      <xdr:row>34</xdr:row>
      <xdr:rowOff>169942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9B00D413-1FC4-D47A-DFC3-2D9AB2080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7212" y="64770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707579</xdr:colOff>
      <xdr:row>35</xdr:row>
      <xdr:rowOff>169942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D36FA6CD-DFFB-11A4-59FF-7DCA28729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7212" y="66675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47</xdr:row>
      <xdr:rowOff>0</xdr:rowOff>
    </xdr:from>
    <xdr:to>
      <xdr:col>4</xdr:col>
      <xdr:colOff>739140</xdr:colOff>
      <xdr:row>47</xdr:row>
      <xdr:rowOff>169942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E9887C7F-DC64-2BEA-123C-13E447EB6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11956" y="89535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48</xdr:row>
      <xdr:rowOff>0</xdr:rowOff>
    </xdr:from>
    <xdr:to>
      <xdr:col>4</xdr:col>
      <xdr:colOff>739140</xdr:colOff>
      <xdr:row>48</xdr:row>
      <xdr:rowOff>169942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E26F8999-0756-FEE1-75A8-130632AFD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11956" y="91440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49</xdr:row>
      <xdr:rowOff>0</xdr:rowOff>
    </xdr:from>
    <xdr:to>
      <xdr:col>4</xdr:col>
      <xdr:colOff>739140</xdr:colOff>
      <xdr:row>49</xdr:row>
      <xdr:rowOff>169942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ADB22D3-0DC6-1658-3E6A-7C4BA5917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11956" y="93345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707579</xdr:colOff>
      <xdr:row>50</xdr:row>
      <xdr:rowOff>169942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381D38BE-D4DC-FFF2-AAC6-DB2806642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7212" y="95250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707579</xdr:colOff>
      <xdr:row>78</xdr:row>
      <xdr:rowOff>169942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593A6EC3-7D7F-D4B5-D308-18234E01E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7212" y="148590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707579</xdr:colOff>
      <xdr:row>79</xdr:row>
      <xdr:rowOff>169942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0B0BE812-E9BE-0F82-C16E-DC7400C1E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07212" y="150495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80</xdr:row>
      <xdr:rowOff>0</xdr:rowOff>
    </xdr:from>
    <xdr:to>
      <xdr:col>4</xdr:col>
      <xdr:colOff>739140</xdr:colOff>
      <xdr:row>80</xdr:row>
      <xdr:rowOff>169942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427607D1-DF77-C14E-E90B-BF1AE187C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811956" y="15240000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190434</xdr:rowOff>
    </xdr:from>
    <xdr:to>
      <xdr:col>4</xdr:col>
      <xdr:colOff>740492</xdr:colOff>
      <xdr:row>18</xdr:row>
      <xdr:rowOff>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88F50052-38E0-6361-1B12-0CF190F66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807212" y="2666934"/>
          <a:ext cx="719390" cy="762066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21</xdr:row>
      <xdr:rowOff>0</xdr:rowOff>
    </xdr:from>
    <xdr:to>
      <xdr:col>4</xdr:col>
      <xdr:colOff>739140</xdr:colOff>
      <xdr:row>22</xdr:row>
      <xdr:rowOff>19829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826FC793-740A-331C-B98E-63B13C21A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811956" y="4000500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28</xdr:row>
      <xdr:rowOff>0</xdr:rowOff>
    </xdr:from>
    <xdr:to>
      <xdr:col>4</xdr:col>
      <xdr:colOff>739140</xdr:colOff>
      <xdr:row>29</xdr:row>
      <xdr:rowOff>19829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86FB123F-BA18-7E52-732A-DF01090B2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811956" y="5334000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707579</xdr:colOff>
      <xdr:row>37</xdr:row>
      <xdr:rowOff>19829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F09B3AAB-E018-F61C-ADDE-273A9164A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07212" y="6858000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37</xdr:row>
      <xdr:rowOff>0</xdr:rowOff>
    </xdr:from>
    <xdr:to>
      <xdr:col>4</xdr:col>
      <xdr:colOff>739140</xdr:colOff>
      <xdr:row>38</xdr:row>
      <xdr:rowOff>19829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721604B2-3CBA-8B06-D7F8-9AFA1E5AE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11956" y="7048500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38</xdr:row>
      <xdr:rowOff>0</xdr:rowOff>
    </xdr:from>
    <xdr:to>
      <xdr:col>4</xdr:col>
      <xdr:colOff>739140</xdr:colOff>
      <xdr:row>39</xdr:row>
      <xdr:rowOff>19829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46456A9A-3CD5-5B2F-595E-F065694D0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11956" y="7239000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38</xdr:row>
      <xdr:rowOff>185911</xdr:rowOff>
    </xdr:from>
    <xdr:to>
      <xdr:col>4</xdr:col>
      <xdr:colOff>739140</xdr:colOff>
      <xdr:row>40</xdr:row>
      <xdr:rowOff>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EC22BD54-0CFE-60FE-0B6A-CA180D92F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11956" y="7424911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185911</xdr:rowOff>
    </xdr:from>
    <xdr:to>
      <xdr:col>4</xdr:col>
      <xdr:colOff>707579</xdr:colOff>
      <xdr:row>41</xdr:row>
      <xdr:rowOff>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4D4D6C26-9B8C-6116-93AA-32BEA861E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07212" y="7615411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185911</xdr:rowOff>
    </xdr:from>
    <xdr:to>
      <xdr:col>4</xdr:col>
      <xdr:colOff>707579</xdr:colOff>
      <xdr:row>42</xdr:row>
      <xdr:rowOff>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3A5428DF-13EC-3AA6-61AF-0CB0D6E7C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07212" y="7805911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41</xdr:row>
      <xdr:rowOff>185911</xdr:rowOff>
    </xdr:from>
    <xdr:to>
      <xdr:col>4</xdr:col>
      <xdr:colOff>739140</xdr:colOff>
      <xdr:row>43</xdr:row>
      <xdr:rowOff>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3D778B21-632A-E081-B29D-669BAD79B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11956" y="7996411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42</xdr:row>
      <xdr:rowOff>185911</xdr:rowOff>
    </xdr:from>
    <xdr:to>
      <xdr:col>4</xdr:col>
      <xdr:colOff>739140</xdr:colOff>
      <xdr:row>44</xdr:row>
      <xdr:rowOff>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F0747CE9-7EFA-0135-0F16-B815FFDCF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11956" y="8186911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707579</xdr:colOff>
      <xdr:row>53</xdr:row>
      <xdr:rowOff>19829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6C76FA77-C992-D582-A7D5-214F6B311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07212" y="9906000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52</xdr:row>
      <xdr:rowOff>185911</xdr:rowOff>
    </xdr:from>
    <xdr:to>
      <xdr:col>4</xdr:col>
      <xdr:colOff>739140</xdr:colOff>
      <xdr:row>54</xdr:row>
      <xdr:rowOff>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6CD77CB4-14AF-D0AF-1AAF-EC32D9582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11956" y="10091911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53</xdr:row>
      <xdr:rowOff>185911</xdr:rowOff>
    </xdr:from>
    <xdr:to>
      <xdr:col>4</xdr:col>
      <xdr:colOff>739140</xdr:colOff>
      <xdr:row>55</xdr:row>
      <xdr:rowOff>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3B2B7ABA-EB0F-A147-1857-9C9176F24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11956" y="10282411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81</xdr:row>
      <xdr:rowOff>0</xdr:rowOff>
    </xdr:from>
    <xdr:to>
      <xdr:col>4</xdr:col>
      <xdr:colOff>739140</xdr:colOff>
      <xdr:row>82</xdr:row>
      <xdr:rowOff>19829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5E53AF7F-3784-D5F3-D90D-712AA0FC0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11956" y="15430500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82</xdr:row>
      <xdr:rowOff>1508</xdr:rowOff>
    </xdr:from>
    <xdr:to>
      <xdr:col>4</xdr:col>
      <xdr:colOff>739140</xdr:colOff>
      <xdr:row>83</xdr:row>
      <xdr:rowOff>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50480D59-A43E-2BC5-0E1B-6992036A7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811956" y="15622508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4745</xdr:colOff>
      <xdr:row>10</xdr:row>
      <xdr:rowOff>1508</xdr:rowOff>
    </xdr:from>
    <xdr:to>
      <xdr:col>3</xdr:col>
      <xdr:colOff>3664</xdr:colOff>
      <xdr:row>11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E7167AB-9115-52E3-7FBC-0C0FF575D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451937" y="1906508"/>
          <a:ext cx="713294" cy="1889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707579</xdr:colOff>
      <xdr:row>46</xdr:row>
      <xdr:rowOff>19829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C6C9405D-EFE2-20CB-104C-BE2A4B504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807212" y="8572500"/>
          <a:ext cx="713294" cy="195089"/>
        </a:xfrm>
        <a:prstGeom prst="rect">
          <a:avLst/>
        </a:prstGeom>
      </xdr:spPr>
    </xdr:pic>
    <xdr:clientData/>
  </xdr:twoCellAnchor>
  <xdr:twoCellAnchor editAs="oneCell">
    <xdr:from>
      <xdr:col>4</xdr:col>
      <xdr:colOff>4744</xdr:colOff>
      <xdr:row>46</xdr:row>
      <xdr:rowOff>0</xdr:rowOff>
    </xdr:from>
    <xdr:to>
      <xdr:col>4</xdr:col>
      <xdr:colOff>744708</xdr:colOff>
      <xdr:row>47</xdr:row>
      <xdr:rowOff>19829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B7EE5D4C-3CAF-A153-8BEE-8B180C7CA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811956" y="8763000"/>
          <a:ext cx="713294" cy="1950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12401</xdr:colOff>
      <xdr:row>8</xdr:row>
      <xdr:rowOff>0</xdr:rowOff>
    </xdr:from>
    <xdr:to>
      <xdr:col>6</xdr:col>
      <xdr:colOff>0</xdr:colOff>
      <xdr:row>9</xdr:row>
      <xdr:rowOff>126519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EB4405-B0E3-D83E-CEFB-A59AB6775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022" y="1524000"/>
          <a:ext cx="3042168" cy="3170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126790</xdr:rowOff>
    </xdr:from>
    <xdr:to>
      <xdr:col>3</xdr:col>
      <xdr:colOff>223050</xdr:colOff>
      <xdr:row>11</xdr:row>
      <xdr:rowOff>131379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18CCF3-FAE0-E785-C3FF-E393367DE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621" y="2031790"/>
          <a:ext cx="1444877" cy="1950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4</xdr:col>
      <xdr:colOff>142534</xdr:colOff>
      <xdr:row>13</xdr:row>
      <xdr:rowOff>16782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8FE893-BD5C-22F1-B6CA-9DFA378F1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621" y="2286000"/>
          <a:ext cx="1975275" cy="2072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16153</xdr:rowOff>
    </xdr:from>
    <xdr:to>
      <xdr:col>5</xdr:col>
      <xdr:colOff>129080</xdr:colOff>
      <xdr:row>16</xdr:row>
      <xdr:rowOff>13138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3705013-D637-328E-BECE-7C701FBEE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9621" y="2683153"/>
          <a:ext cx="2572735" cy="3779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59121</xdr:rowOff>
    </xdr:from>
    <xdr:to>
      <xdr:col>5</xdr:col>
      <xdr:colOff>391231</xdr:colOff>
      <xdr:row>18</xdr:row>
      <xdr:rowOff>62202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582BBD7-45C8-5254-CF98-2879571A5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9621" y="3107121"/>
          <a:ext cx="283488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7604</xdr:rowOff>
    </xdr:from>
    <xdr:to>
      <xdr:col>7</xdr:col>
      <xdr:colOff>486254</xdr:colOff>
      <xdr:row>20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58AF71E-9FAB-83EF-4860-718632927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9621" y="3627104"/>
          <a:ext cx="4151736" cy="182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75409</xdr:rowOff>
    </xdr:from>
    <xdr:to>
      <xdr:col>10</xdr:col>
      <xdr:colOff>6941</xdr:colOff>
      <xdr:row>23</xdr:row>
      <xdr:rowOff>137948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B136035-4AEF-B184-38CE-1CCDF6126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621" y="3885409"/>
          <a:ext cx="5505165" cy="6340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13138</xdr:rowOff>
    </xdr:from>
    <xdr:to>
      <xdr:col>9</xdr:col>
      <xdr:colOff>599566</xdr:colOff>
      <xdr:row>27</xdr:row>
      <xdr:rowOff>75677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E652F3-7183-50D6-74E8-E3A1F975A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9621" y="4585138"/>
          <a:ext cx="5486876" cy="6340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50887</xdr:rowOff>
    </xdr:from>
    <xdr:to>
      <xdr:col>2</xdr:col>
      <xdr:colOff>254794</xdr:colOff>
      <xdr:row>30</xdr:row>
      <xdr:rowOff>72258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320FF9-1B66-5711-AF2F-478EBEF3B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9621" y="5384887"/>
          <a:ext cx="865707" cy="4023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142852</xdr:rowOff>
    </xdr:from>
    <xdr:to>
      <xdr:col>2</xdr:col>
      <xdr:colOff>260891</xdr:colOff>
      <xdr:row>32</xdr:row>
      <xdr:rowOff>164223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8757A-D860-213F-EBCA-AEC5EF8CD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9621" y="5857852"/>
          <a:ext cx="871804" cy="40237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85622</xdr:rowOff>
    </xdr:from>
    <xdr:to>
      <xdr:col>13</xdr:col>
      <xdr:colOff>473008</xdr:colOff>
      <xdr:row>12</xdr:row>
      <xdr:rowOff>131379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2D54184-585E-E874-395E-1944D0CAB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58759" y="1990622"/>
          <a:ext cx="1694835" cy="42675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157655</xdr:rowOff>
    </xdr:from>
    <xdr:to>
      <xdr:col>13</xdr:col>
      <xdr:colOff>387656</xdr:colOff>
      <xdr:row>15</xdr:row>
      <xdr:rowOff>12912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68B0777-FEF5-9B1F-970D-EA6AD707E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58759" y="2443655"/>
          <a:ext cx="1609483" cy="42675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102067</xdr:rowOff>
    </xdr:from>
    <xdr:to>
      <xdr:col>21</xdr:col>
      <xdr:colOff>401954</xdr:colOff>
      <xdr:row>18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02F8436-F7E2-DB54-B32F-48E996DD0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58759" y="2959567"/>
          <a:ext cx="6511092" cy="4694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21</xdr:col>
      <xdr:colOff>310506</xdr:colOff>
      <xdr:row>21</xdr:row>
      <xdr:rowOff>94529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FCC0636-8D7C-B979-BAE0-7B1D6BD5E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58759" y="3619500"/>
          <a:ext cx="6419644" cy="47552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100560</xdr:rowOff>
    </xdr:from>
    <xdr:to>
      <xdr:col>19</xdr:col>
      <xdr:colOff>185002</xdr:colOff>
      <xdr:row>24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0FE7F48-4AEB-D0CE-DB64-2A1E1A9F9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58759" y="4291560"/>
          <a:ext cx="5072312" cy="28044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19</xdr:col>
      <xdr:colOff>185002</xdr:colOff>
      <xdr:row>9</xdr:row>
      <xdr:rowOff>132616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63AE707-6A07-49C5-A633-28AF756CB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58759" y="1524000"/>
          <a:ext cx="5072312" cy="3231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185562</xdr:rowOff>
    </xdr:from>
    <xdr:ext cx="1436077" cy="19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96AECA5-F1DA-4A15-8663-1884DEE875D1}"/>
                </a:ext>
              </a:extLst>
            </xdr:cNvPr>
            <xdr:cNvSpPr txBox="1"/>
          </xdr:nvSpPr>
          <xdr:spPr>
            <a:xfrm>
              <a:off x="247650" y="2090562"/>
              <a:ext cx="1436077" cy="19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𝐼𝐺𝐸</m:t>
                            </m:r>
                          </m:sub>
                        </m:sSub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𝑂𝐺𝐸</m:t>
                            </m:r>
                          </m:sub>
                        </m:sSub>
                      </m:sub>
                    </m:sSub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96AECA5-F1DA-4A15-8663-1884DEE875D1}"/>
                </a:ext>
              </a:extLst>
            </xdr:cNvPr>
            <xdr:cNvSpPr txBox="1"/>
          </xdr:nvSpPr>
          <xdr:spPr>
            <a:xfrm>
              <a:off x="247650" y="2090562"/>
              <a:ext cx="1436077" cy="19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𝑤,𝐼𝐺𝐸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=𝐶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𝑤,𝑂𝐺𝐸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0</xdr:colOff>
      <xdr:row>12</xdr:row>
      <xdr:rowOff>16565</xdr:rowOff>
    </xdr:from>
    <xdr:ext cx="2710963" cy="20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3E37DC6-AEDD-40BC-85ED-8CD9669CF0B8}"/>
                </a:ext>
              </a:extLst>
            </xdr:cNvPr>
            <xdr:cNvSpPr txBox="1"/>
          </xdr:nvSpPr>
          <xdr:spPr>
            <a:xfrm>
              <a:off x="247650" y="2302565"/>
              <a:ext cx="2710963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𝐼𝐺𝐸</m:t>
                            </m:r>
                          </m:sub>
                        </m:sSub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i-F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𝑂𝐺𝐸</m:t>
                            </m:r>
                          </m:sub>
                        </m:sSub>
                      </m:sub>
                    </m:sSub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i-F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fi-F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fi-F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fi-F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  <m:r>
                                  <a:rPr lang="fi-F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𝛿</m:t>
                                </m:r>
                              </m:e>
                              <m:sub>
                                <m:r>
                                  <a:rPr lang="fi-F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sub>
                            </m:sSub>
                          </m:sub>
                        </m:sSub>
                      </m:sub>
                    </m:sSub>
                    <m:r>
                      <a:rPr lang="fi-FI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3E37DC6-AEDD-40BC-85ED-8CD9669CF0B8}"/>
                </a:ext>
              </a:extLst>
            </xdr:cNvPr>
            <xdr:cNvSpPr txBox="1"/>
          </xdr:nvSpPr>
          <xdr:spPr>
            <a:xfrm>
              <a:off x="247650" y="2302565"/>
              <a:ext cx="2710963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ℎ,𝐼𝐺𝐸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fi-F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ℎ,𝑂𝐺𝐸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〖</a:t>
              </a:r>
              <a:r>
                <a:rPr lang="fi-F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+𝐶〗_(𝐿_(〖ℎ,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𝛿〗_</a:t>
              </a:r>
              <a:r>
                <a:rPr lang="fi-F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 ) ))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507</xdr:colOff>
      <xdr:row>14</xdr:row>
      <xdr:rowOff>639</xdr:rowOff>
    </xdr:from>
    <xdr:ext cx="2571750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B3D6987-6A4C-4154-8C90-B4A17A01DDD4}"/>
                </a:ext>
              </a:extLst>
            </xdr:cNvPr>
            <xdr:cNvSpPr txBox="1"/>
          </xdr:nvSpPr>
          <xdr:spPr>
            <a:xfrm>
              <a:off x="248157" y="2667639"/>
              <a:ext cx="2571750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𝑂𝐺𝐸</m:t>
                            </m:r>
                          </m:sub>
                        </m:sSub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𝜋</m:t>
                    </m:r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+2</m:t>
                            </m:r>
                          </m:den>
                        </m:f>
                      </m:e>
                    </m:d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  <m:sub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B3D6987-6A4C-4154-8C90-B4A17A01DDD4}"/>
                </a:ext>
              </a:extLst>
            </xdr:cNvPr>
            <xdr:cNvSpPr txBox="1"/>
          </xdr:nvSpPr>
          <xdr:spPr>
            <a:xfrm>
              <a:off x="248157" y="2667639"/>
              <a:ext cx="2571750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𝑤,𝑂𝐺𝐸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=2𝜋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𝑤+2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𝛼−𝛼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+𝑖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 )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507</xdr:colOff>
      <xdr:row>16</xdr:row>
      <xdr:rowOff>41415</xdr:rowOff>
    </xdr:from>
    <xdr:ext cx="2835520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3208E46-D19F-46BE-AA3E-61AD363D144E}"/>
                </a:ext>
              </a:extLst>
            </xdr:cNvPr>
            <xdr:cNvSpPr txBox="1"/>
          </xdr:nvSpPr>
          <xdr:spPr>
            <a:xfrm>
              <a:off x="248157" y="3089415"/>
              <a:ext cx="2835520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𝑂𝐺𝐸</m:t>
                            </m:r>
                          </m:sub>
                        </m:sSub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𝜋</m:t>
                    </m:r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+2</m:t>
                            </m:r>
                          </m:den>
                        </m:f>
                      </m:e>
                    </m:d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  <m:sub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sub>
                            </m:sSub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𝜖</m:t>
                        </m:r>
                      </m:e>
                    </m:d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3208E46-D19F-46BE-AA3E-61AD363D144E}"/>
                </a:ext>
              </a:extLst>
            </xdr:cNvPr>
            <xdr:cNvSpPr txBox="1"/>
          </xdr:nvSpPr>
          <xdr:spPr>
            <a:xfrm>
              <a:off x="248157" y="3089415"/>
              <a:ext cx="2835520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ℎ,𝑂𝐺𝐸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=2𝜋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ℎ+2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𝛼−𝛼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+𝑖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ℎ+𝜖)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507</xdr:colOff>
      <xdr:row>20</xdr:row>
      <xdr:rowOff>110966</xdr:rowOff>
    </xdr:from>
    <xdr:ext cx="5502520" cy="6344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542D77C-25B2-43A8-BE98-6A772349B854}"/>
                </a:ext>
              </a:extLst>
            </xdr:cNvPr>
            <xdr:cNvSpPr txBox="1"/>
          </xdr:nvSpPr>
          <xdr:spPr>
            <a:xfrm>
              <a:off x="248157" y="3920966"/>
              <a:ext cx="5502520" cy="634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sub>
                        </m:sSub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=1+(1−2,25</m:t>
                    </m:r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0,00273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−0,997</m:t>
                        </m:r>
                      </m:e>
                    </m:d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0,717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+13,6</m:t>
                        </m:r>
                      </m:e>
                    </m:d>
                    <m:f>
                      <m:f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288</m:t>
                            </m:r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d>
                                  <m:d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fi-FI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h</m:t>
                                        </m:r>
                                      </m:num>
                                      <m:den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0,787</m:t>
                            </m:r>
                          </m:sup>
                        </m:sSup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d>
                              <m:d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−9,14</m:t>
                                </m:r>
                                <m:sSup>
                                  <m:sSup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</m:t>
                                    </m:r>
                                    <m:sSub>
                                      <m:sSubPr>
                                        <m:ctrlPr>
                                          <a:rPr lang="fi-FI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d>
                                          <m:dPr>
                                            <m:ctrlPr>
                                              <a:rPr lang="fi-FI" sz="110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f>
                                              <m:fPr>
                                                <m:ctrlPr>
                                                  <a:rPr lang="fi-FI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fPr>
                                              <m:num>
                                                <m:r>
                                                  <a:rPr lang="en-US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h</m:t>
                                                </m:r>
                                              </m:num>
                                              <m:den>
                                                <m:r>
                                                  <a:rPr lang="en-US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𝑏</m:t>
                                                </m:r>
                                              </m:den>
                                            </m:f>
                                          </m:e>
                                        </m:d>
                                      </m:e>
                                      <m:sub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𝑤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0,327</m:t>
                                    </m:r>
                                  </m:sup>
                                </m:sSup>
                              </m:e>
                            </m:d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0,882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542D77C-25B2-43A8-BE98-6A772349B854}"/>
                </a:ext>
              </a:extLst>
            </xdr:cNvPr>
            <xdr:cNvSpPr txBox="1"/>
          </xdr:nvSpPr>
          <xdr:spPr>
            <a:xfrm>
              <a:off x="248157" y="3920966"/>
              <a:ext cx="5502520" cy="634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=1+(1−2,25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0,00273−0,997)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0,717+13,6)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(〖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288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0,787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−9,14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0,327 )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0,882 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507</xdr:colOff>
      <xdr:row>24</xdr:row>
      <xdr:rowOff>49698</xdr:rowOff>
    </xdr:from>
    <xdr:ext cx="5487866" cy="6345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108626E-3871-4BD5-BD5E-9F7B1DDC57A9}"/>
                </a:ext>
              </a:extLst>
            </xdr:cNvPr>
            <xdr:cNvSpPr txBox="1"/>
          </xdr:nvSpPr>
          <xdr:spPr>
            <a:xfrm>
              <a:off x="248157" y="4621698"/>
              <a:ext cx="5487866" cy="634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=1+(1−2,25</m:t>
                    </m:r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0,00273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−0,997</m:t>
                        </m:r>
                      </m:e>
                    </m:d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0,717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+13,6</m:t>
                        </m:r>
                      </m:e>
                    </m:d>
                    <m:f>
                      <m:f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288</m:t>
                            </m:r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d>
                                  <m:d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fi-FI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h</m:t>
                                        </m:r>
                                      </m:num>
                                      <m:den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0,787</m:t>
                            </m:r>
                          </m:sup>
                        </m:sSup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d>
                              <m:d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−9,14</m:t>
                                </m:r>
                                <m:sSup>
                                  <m:sSup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fi-FI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d>
                                          <m:dPr>
                                            <m:ctrlPr>
                                              <a:rPr lang="fi-FI" sz="110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f>
                                              <m:fPr>
                                                <m:ctrlPr>
                                                  <a:rPr lang="fi-FI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fPr>
                                              <m:num>
                                                <m:r>
                                                  <a:rPr lang="en-US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h</m:t>
                                                </m:r>
                                              </m:num>
                                              <m:den>
                                                <m:r>
                                                  <a:rPr lang="en-US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𝑏</m:t>
                                                </m:r>
                                              </m:den>
                                            </m:f>
                                          </m:e>
                                        </m:d>
                                      </m:e>
                                      <m:sub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h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0,327</m:t>
                                    </m:r>
                                  </m:sup>
                                </m:sSup>
                              </m:e>
                            </m:d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0,882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108626E-3871-4BD5-BD5E-9F7B1DDC57A9}"/>
                </a:ext>
              </a:extLst>
            </xdr:cNvPr>
            <xdr:cNvSpPr txBox="1"/>
          </xdr:nvSpPr>
          <xdr:spPr>
            <a:xfrm>
              <a:off x="248157" y="4621698"/>
              <a:ext cx="5487866" cy="634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=1+(1−2,25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0,00273−0,997)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0,717+13,6)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(〖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288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0,787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−9,14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0,327 )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0,882 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0</xdr:colOff>
      <xdr:row>28</xdr:row>
      <xdr:rowOff>16565</xdr:rowOff>
    </xdr:from>
    <xdr:ext cx="864577" cy="4031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06DF614-DCAE-4411-957E-05CAF31C6302}"/>
                </a:ext>
              </a:extLst>
            </xdr:cNvPr>
            <xdr:cNvSpPr txBox="1"/>
          </xdr:nvSpPr>
          <xdr:spPr>
            <a:xfrm>
              <a:off x="247650" y="5350565"/>
              <a:ext cx="864577" cy="4031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d>
                          <m:d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num>
                              <m:den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den>
                            </m:f>
                          </m:e>
                        </m:d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06DF614-DCAE-4411-957E-05CAF31C6302}"/>
                </a:ext>
              </a:extLst>
            </xdr:cNvPr>
            <xdr:cNvSpPr txBox="1"/>
          </xdr:nvSpPr>
          <xdr:spPr>
            <a:xfrm>
              <a:off x="247650" y="5350565"/>
              <a:ext cx="864577" cy="4031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𝑤=ℎ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 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507</xdr:colOff>
      <xdr:row>30</xdr:row>
      <xdr:rowOff>110267</xdr:rowOff>
    </xdr:from>
    <xdr:ext cx="871904" cy="4032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0FE584C-7889-4F44-B60E-8D6808CFF99D}"/>
                </a:ext>
              </a:extLst>
            </xdr:cNvPr>
            <xdr:cNvSpPr txBox="1"/>
          </xdr:nvSpPr>
          <xdr:spPr>
            <a:xfrm>
              <a:off x="248157" y="5825267"/>
              <a:ext cx="871904" cy="4032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d>
                          <m:d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num>
                              <m:den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den>
                            </m:f>
                          </m:e>
                        </m:d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0FE584C-7889-4F44-B60E-8D6808CFF99D}"/>
                </a:ext>
              </a:extLst>
            </xdr:cNvPr>
            <xdr:cNvSpPr txBox="1"/>
          </xdr:nvSpPr>
          <xdr:spPr>
            <a:xfrm>
              <a:off x="248157" y="5825267"/>
              <a:ext cx="871904" cy="4032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ℎ=ℎ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 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4778</xdr:colOff>
      <xdr:row>8</xdr:row>
      <xdr:rowOff>5706</xdr:rowOff>
    </xdr:from>
    <xdr:ext cx="5073032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FAB87E7-9504-46E1-842F-EF8EC7FAD9DE}"/>
                </a:ext>
              </a:extLst>
            </xdr:cNvPr>
            <xdr:cNvSpPr txBox="1"/>
          </xdr:nvSpPr>
          <xdr:spPr>
            <a:xfrm>
              <a:off x="6348428" y="1529706"/>
              <a:ext cx="5073032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e>
                      <m:sub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</m:t>
                        </m:r>
                      </m:sub>
                    </m:sSub>
                    <m:r>
                      <a:rPr lang="fi-FI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e>
                      <m:sub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fi-FI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e>
                          <m:sub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sub>
                        </m:sSub>
                      </m:sub>
                    </m:sSub>
                    <m:r>
                      <a:rPr lang="fi-FI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e>
                          <m:sub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sub>
                    </m:sSub>
                    <m:r>
                      <a:rPr lang="fi-FI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𝛿</m:t>
                            </m:r>
                          </m:e>
                          <m:sub>
                            <m:r>
                              <a:rPr lang="fi-F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sub>
                        </m:sSub>
                      </m:sub>
                    </m:sSub>
                    <m:r>
                      <a:rPr lang="fi-FI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fi-FI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𝜌</m:t>
                    </m:r>
                    <m:sSup>
                      <m:sSup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sub>
                        </m:sSub>
                      </m:e>
                      <m:sup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</m:sub>
                        </m:s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sub>
                        </m:sSub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𝐼𝐺𝐸</m:t>
                                </m:r>
                              </m:sub>
                            </m:sSub>
                          </m:sub>
                        </m:s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sub>
                        </m:sSub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𝐼𝐺𝐸</m:t>
                                </m:r>
                              </m:sub>
                            </m:sSub>
                          </m:sub>
                        </m:s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sSub>
                              <m:sSubPr>
                                <m:ctrlPr>
                                  <a:rPr lang="fi-F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fi-F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𝛿</m:t>
                                    </m:r>
                                  </m:e>
                                  <m:sub>
                                    <m:r>
                                      <a:rPr lang="fi-FI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sub>
                                </m:sSub>
                              </m:sub>
                            </m:sSub>
                          </m:sub>
                        </m:s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FAB87E7-9504-46E1-842F-EF8EC7FAD9DE}"/>
                </a:ext>
              </a:extLst>
            </xdr:cNvPr>
            <xdr:cNvSpPr txBox="1"/>
          </xdr:nvSpPr>
          <xdr:spPr>
            <a:xfrm>
              <a:off x="6348428" y="1529706"/>
              <a:ext cx="5073032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𝐷_𝑡𝑜𝑡=𝐷_0+𝐷_(𝑖_𝑤 )+𝐷_(𝑖_ℎ )</a:t>
              </a:r>
              <a:r>
                <a:rPr lang="fi-F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𝐷_(𝛿_</a:t>
              </a:r>
              <a:r>
                <a:rPr lang="fi-F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 )</a:t>
              </a:r>
              <a:r>
                <a:rPr lang="fi-F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1/2 𝜌〖𝑣_𝑐〗^2 (𝐶_(𝐷_0 ) 𝑆_𝑤+𝐶_(𝐷_(𝑖,𝑤,𝐼𝐺𝐸) ) 𝑆_𝑤+𝐶_(𝐷_(𝑖,ℎ,𝐼𝐺𝐸) ) 𝑆_ℎ+</a:t>
              </a:r>
              <a:r>
                <a:rPr lang="fi-F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𝐶_(𝐷_(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𝛿_</a:t>
              </a:r>
              <a:r>
                <a:rPr lang="fi-F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 ) )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𝑆_ℎ )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0</xdr:colOff>
      <xdr:row>10</xdr:row>
      <xdr:rowOff>63668</xdr:rowOff>
    </xdr:from>
    <xdr:ext cx="1695068" cy="422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248833E-697B-4F37-81DF-22850085249B}"/>
                </a:ext>
              </a:extLst>
            </xdr:cNvPr>
            <xdr:cNvSpPr txBox="1"/>
          </xdr:nvSpPr>
          <xdr:spPr>
            <a:xfrm>
              <a:off x="6343650" y="1968668"/>
              <a:ext cx="1695068" cy="422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𝐼𝐺𝐸</m:t>
                            </m:r>
                          </m:sub>
                        </m:sSub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𝑤</m:t>
                                    </m:r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,</m:t>
                                    </m:r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𝐼𝐺𝐸</m:t>
                                    </m:r>
                                  </m:sub>
                                </m:sSub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</m:sub>
                        </m:s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𝐴𝑅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sub>
                        </m:sSub>
                      </m:den>
                    </m:f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248833E-697B-4F37-81DF-22850085249B}"/>
                </a:ext>
              </a:extLst>
            </xdr:cNvPr>
            <xdr:cNvSpPr txBox="1"/>
          </xdr:nvSpPr>
          <xdr:spPr>
            <a:xfrm>
              <a:off x="6343650" y="1968668"/>
              <a:ext cx="1695068" cy="422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𝑖,𝑤,𝐼𝐺𝐸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𝑤,𝐼𝐺𝐸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𝜋𝑒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0</xdr:colOff>
      <xdr:row>12</xdr:row>
      <xdr:rowOff>146184</xdr:rowOff>
    </xdr:from>
    <xdr:ext cx="1607145" cy="422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29D05F-8C2A-4362-99FA-206FDD282705}"/>
                </a:ext>
              </a:extLst>
            </xdr:cNvPr>
            <xdr:cNvSpPr txBox="1"/>
          </xdr:nvSpPr>
          <xdr:spPr>
            <a:xfrm>
              <a:off x="6343650" y="2432184"/>
              <a:ext cx="1607145" cy="422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𝐼𝐺𝐸</m:t>
                            </m:r>
                          </m:sub>
                        </m:sSub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h</m:t>
                                    </m:r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,</m:t>
                                    </m:r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𝐼𝐺𝐸</m:t>
                                    </m:r>
                                  </m:sub>
                                </m:sSub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sub>
                            </m:sSub>
                          </m:sub>
                        </m:s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𝐴𝑅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den>
                    </m:f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29D05F-8C2A-4362-99FA-206FDD282705}"/>
                </a:ext>
              </a:extLst>
            </xdr:cNvPr>
            <xdr:cNvSpPr txBox="1"/>
          </xdr:nvSpPr>
          <xdr:spPr>
            <a:xfrm>
              <a:off x="6343650" y="2432184"/>
              <a:ext cx="1607145" cy="422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𝑖,ℎ,𝐼𝐺𝐸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ℎ,𝐼𝐺𝐸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𝜋𝑒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0</xdr:colOff>
      <xdr:row>15</xdr:row>
      <xdr:rowOff>104771</xdr:rowOff>
    </xdr:from>
    <xdr:ext cx="6508856" cy="469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60F2F94-8982-486F-8711-65E56C73813B}"/>
                </a:ext>
              </a:extLst>
            </xdr:cNvPr>
            <xdr:cNvSpPr txBox="1"/>
          </xdr:nvSpPr>
          <xdr:spPr>
            <a:xfrm>
              <a:off x="6343650" y="2962271"/>
              <a:ext cx="6508856" cy="469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sub>
                        </m:sSub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=1−(1−0,157</m:t>
                    </m:r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0,757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−0,373</m:t>
                        </m:r>
                      </m:e>
                    </m:d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0,417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−1,27</m:t>
                        </m:r>
                      </m:e>
                    </m:d>
                    <m:func>
                      <m:func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fName>
                      <m: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d>
                              <m:d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−4,74 </m:t>
                                </m:r>
                                <m:sSup>
                                  <m:sSup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fi-FI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d>
                                          <m:dPr>
                                            <m:ctrlPr>
                                              <a:rPr lang="fi-FI" sz="110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f>
                                              <m:fPr>
                                                <m:ctrlPr>
                                                  <a:rPr lang="fi-FI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fPr>
                                              <m:num>
                                                <m:r>
                                                  <a:rPr lang="en-US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h</m:t>
                                                </m:r>
                                              </m:num>
                                              <m:den>
                                                <m:r>
                                                  <a:rPr lang="en-US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𝑏</m:t>
                                                </m:r>
                                              </m:den>
                                            </m:f>
                                          </m:e>
                                        </m:d>
                                      </m:e>
                                      <m:sub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𝑤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0,814</m:t>
                                    </m:r>
                                  </m:sup>
                                </m:sSup>
                              </m:e>
                            </m:d>
                          </m:sup>
                        </m:sSup>
                      </m:e>
                    </m:func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func>
                      <m:func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d>
                                  <m:d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fi-FI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h</m:t>
                                        </m:r>
                                      </m:num>
                                      <m:den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fName>
                      <m: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d>
                              <m:d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−3,88</m:t>
                                </m:r>
                                <m:sSup>
                                  <m:sSup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fi-FI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d>
                                          <m:dPr>
                                            <m:ctrlPr>
                                              <a:rPr lang="fi-FI" sz="110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f>
                                              <m:fPr>
                                                <m:ctrlPr>
                                                  <a:rPr lang="fi-FI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fPr>
                                              <m:num>
                                                <m:r>
                                                  <a:rPr lang="en-US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h</m:t>
                                                </m:r>
                                              </m:num>
                                              <m:den>
                                                <m:r>
                                                  <a:rPr lang="en-US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𝑏</m:t>
                                                </m:r>
                                              </m:den>
                                            </m:f>
                                          </m:e>
                                        </m:d>
                                      </m:e>
                                      <m:sub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𝑤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0,758</m:t>
                                    </m:r>
                                  </m:sup>
                                </m:sSup>
                              </m:e>
                            </m:d>
                          </m:sup>
                        </m:sSup>
                      </m:e>
                    </m:func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60F2F94-8982-486F-8711-65E56C73813B}"/>
                </a:ext>
              </a:extLst>
            </xdr:cNvPr>
            <xdr:cNvSpPr txBox="1"/>
          </xdr:nvSpPr>
          <xdr:spPr>
            <a:xfrm>
              <a:off x="6343650" y="2962271"/>
              <a:ext cx="6508856" cy="469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=1−(1−0,157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0,757−0,373)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0,417−1,27)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⁡〖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−4,74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0,814 )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⁡〖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−3,88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0,758 )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0</xdr:colOff>
      <xdr:row>18</xdr:row>
      <xdr:rowOff>118904</xdr:rowOff>
    </xdr:from>
    <xdr:ext cx="6420933" cy="4697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73D6BB1-0D27-48E2-B325-CFD9F07BE101}"/>
                </a:ext>
              </a:extLst>
            </xdr:cNvPr>
            <xdr:cNvSpPr txBox="1"/>
          </xdr:nvSpPr>
          <xdr:spPr>
            <a:xfrm>
              <a:off x="6343650" y="3547904"/>
              <a:ext cx="6420933" cy="4697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</m:e>
                      <m: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=1−(1−0,157</m:t>
                    </m:r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0,757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−0,373</m:t>
                        </m:r>
                      </m:e>
                    </m:d>
                    <m:d>
                      <m:d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𝐴𝑅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0,417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−1,27</m:t>
                        </m:r>
                      </m:e>
                    </m:d>
                    <m:func>
                      <m:func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fName>
                      <m: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d>
                              <m:d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−4,74 </m:t>
                                </m:r>
                                <m:sSup>
                                  <m:sSup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fi-FI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d>
                                          <m:dPr>
                                            <m:ctrlPr>
                                              <a:rPr lang="fi-FI" sz="110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f>
                                              <m:fPr>
                                                <m:ctrlPr>
                                                  <a:rPr lang="fi-FI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fPr>
                                              <m:num>
                                                <m:r>
                                                  <a:rPr lang="en-US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h</m:t>
                                                </m:r>
                                              </m:num>
                                              <m:den>
                                                <m:r>
                                                  <a:rPr lang="en-US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𝑏</m:t>
                                                </m:r>
                                              </m:den>
                                            </m:f>
                                          </m:e>
                                        </m:d>
                                      </m:e>
                                      <m:sub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h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0,814</m:t>
                                    </m:r>
                                  </m:sup>
                                </m:sSup>
                              </m:e>
                            </m:d>
                          </m:sup>
                        </m:sSup>
                      </m:e>
                    </m:func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func>
                      <m:func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d>
                                  <m:d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fi-FI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h</m:t>
                                        </m:r>
                                      </m:num>
                                      <m:den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fName>
                      <m:e>
                        <m:sSup>
                          <m:sSup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d>
                              <m:d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−3,88</m:t>
                                </m:r>
                                <m:sSup>
                                  <m:sSupPr>
                                    <m:ctrlPr>
                                      <a:rPr lang="fi-FI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fi-FI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d>
                                          <m:dPr>
                                            <m:ctrlPr>
                                              <a:rPr lang="fi-FI" sz="110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f>
                                              <m:fPr>
                                                <m:ctrlPr>
                                                  <a:rPr lang="fi-FI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fPr>
                                              <m:num>
                                                <m:r>
                                                  <a:rPr lang="en-US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h</m:t>
                                                </m:r>
                                              </m:num>
                                              <m:den>
                                                <m:r>
                                                  <a:rPr lang="en-US" sz="110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𝑏</m:t>
                                                </m:r>
                                              </m:den>
                                            </m:f>
                                          </m:e>
                                        </m:d>
                                      </m:e>
                                      <m:sub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h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0,758</m:t>
                                    </m:r>
                                  </m:sup>
                                </m:sSup>
                              </m:e>
                            </m:d>
                          </m:sup>
                        </m:sSup>
                      </m:e>
                    </m:func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73D6BB1-0D27-48E2-B325-CFD9F07BE101}"/>
                </a:ext>
              </a:extLst>
            </xdr:cNvPr>
            <xdr:cNvSpPr txBox="1"/>
          </xdr:nvSpPr>
          <xdr:spPr>
            <a:xfrm>
              <a:off x="6343650" y="3547904"/>
              <a:ext cx="6420933" cy="4697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=1−(1−0,157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0,757−0,373)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𝐴𝑅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0,417−1,27)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⁡〖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−4,74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0,814 )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⁡〖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−3,88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0,758 )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606136</xdr:colOff>
      <xdr:row>22</xdr:row>
      <xdr:rowOff>104771</xdr:rowOff>
    </xdr:from>
    <xdr:ext cx="5070230" cy="2762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0B68BBD-DF61-49FD-BD12-5DE78C17226A}"/>
                </a:ext>
              </a:extLst>
            </xdr:cNvPr>
            <xdr:cNvSpPr txBox="1"/>
          </xdr:nvSpPr>
          <xdr:spPr>
            <a:xfrm>
              <a:off x="6340186" y="4295771"/>
              <a:ext cx="5070230" cy="2762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fi-FI" sz="1100">
                  <a:solidFill>
                    <a:srgbClr val="FF0000"/>
                  </a:solidFill>
                  <a:effectLst/>
                  <a:ea typeface="+mn-ea"/>
                  <a:cs typeface="+mn-cs"/>
                </a:rPr>
                <a:t>NOTE: Equations for </a:t>
              </a:r>
              <a14:m>
                <m:oMath xmlns:m="http://schemas.openxmlformats.org/officeDocument/2006/math">
                  <m:sSub>
                    <m:sSubPr>
                      <m:ctrlPr>
                        <a:rPr lang="fi-FI" sz="1100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sSub>
                        <m:sSubPr>
                          <m:ctrlPr>
                            <a:rPr lang="fi-FI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𝐿</m:t>
                          </m:r>
                        </m:e>
                        <m:sub>
                          <m:r>
                            <a:rPr lang="en-US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𝑤</m:t>
                          </m:r>
                          <m:r>
                            <a:rPr lang="en-US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en-US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𝐼𝐺𝐸</m:t>
                          </m:r>
                        </m:sub>
                      </m:sSub>
                    </m:sub>
                  </m:sSub>
                </m:oMath>
              </a14:m>
              <a:r>
                <a:rPr lang="fi-FI" sz="1100">
                  <a:solidFill>
                    <a:srgbClr val="FF0000"/>
                  </a:solidFill>
                </a:rPr>
                <a:t> , </a:t>
              </a:r>
              <a14:m>
                <m:oMath xmlns:m="http://schemas.openxmlformats.org/officeDocument/2006/math">
                  <m:sSub>
                    <m:sSubPr>
                      <m:ctrlPr>
                        <a:rPr lang="fi-FI" sz="1100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sSub>
                        <m:sSubPr>
                          <m:ctrlPr>
                            <a:rPr lang="fi-FI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𝐿</m:t>
                          </m:r>
                        </m:e>
                        <m:sub>
                          <m:r>
                            <a:rPr lang="en-US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h</m:t>
                          </m:r>
                          <m:r>
                            <a:rPr lang="en-US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en-US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𝐼𝐺𝐸</m:t>
                          </m:r>
                        </m:sub>
                      </m:sSub>
                    </m:sub>
                  </m:sSub>
                </m:oMath>
              </a14:m>
              <a:r>
                <a:rPr lang="fi-FI" sz="1100">
                  <a:solidFill>
                    <a:srgbClr val="FF0000"/>
                  </a:solidFill>
                </a:rPr>
                <a:t> , </a:t>
              </a:r>
              <a14:m>
                <m:oMath xmlns:m="http://schemas.openxmlformats.org/officeDocument/2006/math">
                  <m:sSub>
                    <m:sSubPr>
                      <m:ctrlPr>
                        <a:rPr lang="fi-FI" sz="1100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d>
                        <m:dPr>
                          <m:ctrlPr>
                            <a:rPr lang="fi-FI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fi-FI" sz="1100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lang="en-US" sz="1100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h</m:t>
                              </m:r>
                            </m:num>
                            <m:den>
                              <m:r>
                                <a:rPr lang="en-US" sz="1100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𝑏</m:t>
                              </m:r>
                            </m:den>
                          </m:f>
                        </m:e>
                      </m:d>
                    </m:e>
                    <m:sub>
                      <m:r>
                        <a:rPr lang="en-US" sz="1100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𝑤</m:t>
                      </m:r>
                    </m:sub>
                  </m:sSub>
                </m:oMath>
              </a14:m>
              <a:r>
                <a:rPr lang="fi-FI" sz="1100">
                  <a:solidFill>
                    <a:srgbClr val="FF0000"/>
                  </a:solidFill>
                </a:rPr>
                <a:t> and </a:t>
              </a:r>
              <a14:m>
                <m:oMath xmlns:m="http://schemas.openxmlformats.org/officeDocument/2006/math">
                  <m:sSub>
                    <m:sSubPr>
                      <m:ctrlPr>
                        <a:rPr lang="fi-FI" sz="1100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d>
                        <m:dPr>
                          <m:ctrlPr>
                            <a:rPr lang="fi-FI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fi-FI" sz="1100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lang="en-US" sz="1100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h</m:t>
                              </m:r>
                            </m:num>
                            <m:den>
                              <m:r>
                                <a:rPr lang="en-US" sz="1100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𝑏</m:t>
                              </m:r>
                            </m:den>
                          </m:f>
                        </m:e>
                      </m:d>
                    </m:e>
                    <m:sub>
                      <m:r>
                        <a:rPr lang="fi-FI" sz="1100" b="0" i="1">
                          <a:solidFill>
                            <a:srgbClr val="FF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h</m:t>
                      </m:r>
                    </m:sub>
                  </m:sSub>
                </m:oMath>
              </a14:m>
              <a:r>
                <a:rPr lang="fi-FI" sz="1100" baseline="0">
                  <a:solidFill>
                    <a:srgbClr val="FF0000"/>
                  </a:solidFill>
                </a:rPr>
                <a:t> are the same as in Lift Equations. </a:t>
              </a:r>
              <a:endParaRPr lang="fi-FI" sz="11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0B68BBD-DF61-49FD-BD12-5DE78C17226A}"/>
                </a:ext>
              </a:extLst>
            </xdr:cNvPr>
            <xdr:cNvSpPr txBox="1"/>
          </xdr:nvSpPr>
          <xdr:spPr>
            <a:xfrm>
              <a:off x="6340186" y="4295771"/>
              <a:ext cx="5070230" cy="2762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fi-FI" sz="1100">
                  <a:solidFill>
                    <a:srgbClr val="FF0000"/>
                  </a:solidFill>
                  <a:effectLst/>
                  <a:ea typeface="+mn-ea"/>
                  <a:cs typeface="+mn-cs"/>
                </a:rPr>
                <a:t>NOTE: Equations for 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𝑤,𝐼𝐺𝐸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fi-FI" sz="1100">
                  <a:solidFill>
                    <a:srgbClr val="FF0000"/>
                  </a:solidFill>
                </a:rPr>
                <a:t> , 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ℎ,𝐼𝐺𝐸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fi-FI" sz="1100">
                  <a:solidFill>
                    <a:srgbClr val="FF0000"/>
                  </a:solidFill>
                </a:rPr>
                <a:t> , 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fi-FI" sz="1100">
                  <a:solidFill>
                    <a:srgbClr val="FF0000"/>
                  </a:solidFill>
                </a:rPr>
                <a:t> and 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𝑏)</a:t>
              </a:r>
              <a:r>
                <a:rPr lang="fi-FI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fi-FI" sz="1100" b="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fi-FI" sz="1100" baseline="0">
                  <a:solidFill>
                    <a:srgbClr val="FF0000"/>
                  </a:solidFill>
                </a:rPr>
                <a:t> are the same as in Lift Equations. </a:t>
              </a:r>
              <a:endParaRPr lang="fi-FI" sz="11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507</xdr:colOff>
      <xdr:row>19</xdr:row>
      <xdr:rowOff>0</xdr:rowOff>
    </xdr:from>
    <xdr:ext cx="4149149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FDC2E19-885F-416A-B853-B5E769787F3F}"/>
            </a:ext>
          </a:extLst>
        </xdr:cNvPr>
        <xdr:cNvSpPr txBox="1"/>
      </xdr:nvSpPr>
      <xdr:spPr>
        <a:xfrm>
          <a:off x="248157" y="3619500"/>
          <a:ext cx="414914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fi-FI" sz="1100">
              <a:solidFill>
                <a:srgbClr val="FF0000"/>
              </a:solidFill>
              <a:effectLst/>
              <a:ea typeface="+mn-ea"/>
              <a:cs typeface="+mn-cs"/>
            </a:rPr>
            <a:t>NOTE: Angles for the lift coefficients</a:t>
          </a:r>
          <a:r>
            <a:rPr lang="fi-FI" sz="1100" baseline="0">
              <a:solidFill>
                <a:srgbClr val="FF0000"/>
              </a:solidFill>
              <a:effectLst/>
              <a:ea typeface="+mn-ea"/>
              <a:cs typeface="+mn-cs"/>
            </a:rPr>
            <a:t> above are to be entered in radians</a:t>
          </a:r>
          <a:r>
            <a:rPr lang="fi-FI" sz="1100" baseline="0">
              <a:solidFill>
                <a:srgbClr val="FF0000"/>
              </a:solidFill>
            </a:rPr>
            <a:t>. </a:t>
          </a:r>
          <a:endParaRPr lang="fi-FI" sz="11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249620</xdr:colOff>
      <xdr:row>8</xdr:row>
      <xdr:rowOff>18273</xdr:rowOff>
    </xdr:from>
    <xdr:ext cx="4374931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57A932A-96DF-4F9A-827C-D0B0C1F22E5E}"/>
                </a:ext>
              </a:extLst>
            </xdr:cNvPr>
            <xdr:cNvSpPr txBox="1"/>
          </xdr:nvSpPr>
          <xdr:spPr>
            <a:xfrm>
              <a:off x="249620" y="1542273"/>
              <a:ext cx="4374931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i-F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</m:t>
                        </m:r>
                      </m:sub>
                    </m:sSub>
                    <m:r>
                      <a:rPr lang="fi-FI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i-F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a:rPr lang="fi-F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sub>
                    </m:sSub>
                    <m:r>
                      <a:rPr lang="fi-FI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i-F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a:rPr lang="fi-F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sub>
                    </m:sSub>
                    <m:r>
                      <a:rPr lang="fi-FI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𝜌</m:t>
                    </m:r>
                    <m:sSup>
                      <m:sSupPr>
                        <m:ctrlPr>
                          <a:rPr lang="fi-FI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sub>
                        </m:sSub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d>
                      <m:d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𝐼𝐺𝐸</m:t>
                                </m:r>
                              </m:sub>
                            </m:sSub>
                          </m:sub>
                        </m:s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sub>
                        </m:sSub>
                        <m:r>
                          <a:rPr lang="fi-F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sSub>
                              <m:sSubPr>
                                <m:ctrlPr>
                                  <a:rPr lang="fi-F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𝐼𝐺𝐸</m:t>
                                </m:r>
                              </m:sub>
                            </m:sSub>
                          </m:sub>
                        </m:sSub>
                        <m:sSub>
                          <m:sSubPr>
                            <m:ctrlPr>
                              <a:rPr lang="fi-FI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57A932A-96DF-4F9A-827C-D0B0C1F22E5E}"/>
                </a:ext>
              </a:extLst>
            </xdr:cNvPr>
            <xdr:cNvSpPr txBox="1"/>
          </xdr:nvSpPr>
          <xdr:spPr>
            <a:xfrm>
              <a:off x="249620" y="1542273"/>
              <a:ext cx="4374931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i-F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𝐿_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𝑡𝑜𝑡=</a:t>
              </a:r>
              <a:r>
                <a:rPr lang="fi-F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𝐿_𝑤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fi-F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𝐿_ℎ=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𝜌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𝑣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𝑐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𝑤,𝐼𝐺𝐸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𝑤</a:t>
              </a:r>
              <a:r>
                <a:rPr lang="fi-F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ℎ,𝐼𝐺𝐸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fi-F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fi-FI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arc.aiaa.org/doi/10.2514/6.2013-291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arc.aiaa.org/doi/10.2514/6.2013-29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6"/>
  <sheetViews>
    <sheetView showGridLines="0" tabSelected="1" zoomScaleNormal="100" workbookViewId="0">
      <selection activeCell="D94" sqref="D94"/>
    </sheetView>
  </sheetViews>
  <sheetFormatPr defaultRowHeight="14.4" x14ac:dyDescent="0.3"/>
  <cols>
    <col min="1" max="1" width="3.6640625" customWidth="1"/>
    <col min="2" max="2" width="33" bestFit="1" customWidth="1"/>
    <col min="3" max="3" width="10.6640625" style="4" customWidth="1"/>
    <col min="4" max="4" width="44.44140625" customWidth="1"/>
    <col min="5" max="5" width="20.5546875" style="4" customWidth="1"/>
    <col min="6" max="6" width="136" style="5" bestFit="1" customWidth="1"/>
  </cols>
  <sheetData>
    <row r="2" spans="2:6" ht="15" customHeight="1" x14ac:dyDescent="0.3">
      <c r="B2" s="82" t="s">
        <v>0</v>
      </c>
      <c r="C2" s="37"/>
      <c r="D2" s="29"/>
      <c r="E2" s="30"/>
      <c r="F2" s="31"/>
    </row>
    <row r="3" spans="2:6" ht="15" customHeight="1" x14ac:dyDescent="0.3">
      <c r="B3" s="83"/>
      <c r="C3" s="38"/>
      <c r="D3" s="32"/>
      <c r="E3" s="33"/>
      <c r="F3" s="34"/>
    </row>
    <row r="4" spans="2:6" x14ac:dyDescent="0.3">
      <c r="B4" s="77" t="s">
        <v>1</v>
      </c>
      <c r="C4" s="77" t="s">
        <v>2</v>
      </c>
      <c r="D4" s="73"/>
      <c r="E4" s="77" t="s">
        <v>3</v>
      </c>
      <c r="F4" s="93" t="s">
        <v>4</v>
      </c>
    </row>
    <row r="5" spans="2:6" x14ac:dyDescent="0.3">
      <c r="B5" s="78"/>
      <c r="C5" s="78"/>
      <c r="D5" s="10" t="s">
        <v>5</v>
      </c>
      <c r="E5" s="78"/>
      <c r="F5" s="94"/>
    </row>
    <row r="6" spans="2:6" x14ac:dyDescent="0.3">
      <c r="B6" s="43" t="s">
        <v>6</v>
      </c>
      <c r="C6" s="44"/>
      <c r="D6" s="45"/>
      <c r="E6" s="44"/>
      <c r="F6" s="46"/>
    </row>
    <row r="7" spans="2:6" x14ac:dyDescent="0.3">
      <c r="B7" s="47" t="s">
        <v>7</v>
      </c>
      <c r="C7" s="47"/>
      <c r="D7" s="24">
        <v>1.2250000000000001</v>
      </c>
      <c r="E7" s="24"/>
      <c r="F7" s="36" t="s">
        <v>8</v>
      </c>
    </row>
    <row r="8" spans="2:6" x14ac:dyDescent="0.3">
      <c r="B8" s="2" t="s">
        <v>9</v>
      </c>
      <c r="C8" s="2"/>
      <c r="D8" s="2">
        <v>3.1415899999999999</v>
      </c>
      <c r="E8" s="2" t="s">
        <v>10</v>
      </c>
      <c r="F8" s="7" t="s">
        <v>10</v>
      </c>
    </row>
    <row r="9" spans="2:6" x14ac:dyDescent="0.3">
      <c r="B9" s="2" t="s">
        <v>11</v>
      </c>
      <c r="C9" s="2"/>
      <c r="D9" s="2">
        <v>2.71828</v>
      </c>
      <c r="E9" s="2" t="s">
        <v>10</v>
      </c>
      <c r="F9" s="7" t="s">
        <v>10</v>
      </c>
    </row>
    <row r="10" spans="2:6" x14ac:dyDescent="0.3">
      <c r="B10" s="43" t="s">
        <v>12</v>
      </c>
      <c r="C10" s="44"/>
      <c r="D10" s="45"/>
      <c r="E10" s="44"/>
      <c r="F10" s="46"/>
    </row>
    <row r="11" spans="2:6" x14ac:dyDescent="0.3">
      <c r="B11" s="39" t="s">
        <v>13</v>
      </c>
      <c r="C11" s="40"/>
      <c r="D11" s="40">
        <v>112</v>
      </c>
      <c r="E11" s="41"/>
      <c r="F11" s="42" t="s">
        <v>14</v>
      </c>
    </row>
    <row r="12" spans="2:6" x14ac:dyDescent="0.3">
      <c r="B12" s="2" t="s">
        <v>15</v>
      </c>
      <c r="C12" s="2"/>
      <c r="D12" s="2">
        <v>0</v>
      </c>
      <c r="E12" s="2"/>
      <c r="F12" s="7" t="s">
        <v>16</v>
      </c>
    </row>
    <row r="13" spans="2:6" x14ac:dyDescent="0.3">
      <c r="B13" s="2" t="s">
        <v>17</v>
      </c>
      <c r="C13" s="2"/>
      <c r="D13" s="2">
        <v>0</v>
      </c>
      <c r="E13" s="2"/>
      <c r="F13" s="7" t="s">
        <v>16</v>
      </c>
    </row>
    <row r="14" spans="2:6" x14ac:dyDescent="0.3">
      <c r="B14" s="2" t="s">
        <v>18</v>
      </c>
      <c r="C14" s="2"/>
      <c r="D14" s="2">
        <v>0</v>
      </c>
      <c r="E14" s="2"/>
      <c r="F14" s="7" t="s">
        <v>16</v>
      </c>
    </row>
    <row r="15" spans="2:6" ht="15" customHeight="1" x14ac:dyDescent="0.3">
      <c r="B15" s="74" t="s">
        <v>19</v>
      </c>
      <c r="C15" s="74"/>
      <c r="D15" s="74"/>
      <c r="E15" s="74"/>
      <c r="F15" s="95" t="s">
        <v>20</v>
      </c>
    </row>
    <row r="16" spans="2:6" x14ac:dyDescent="0.3">
      <c r="B16" s="75"/>
      <c r="C16" s="75"/>
      <c r="D16" s="75"/>
      <c r="E16" s="75"/>
      <c r="F16" s="96"/>
    </row>
    <row r="17" spans="2:6" x14ac:dyDescent="0.3">
      <c r="B17" s="75"/>
      <c r="C17" s="75"/>
      <c r="D17" s="75"/>
      <c r="E17" s="75"/>
      <c r="F17" s="96"/>
    </row>
    <row r="18" spans="2:6" x14ac:dyDescent="0.3">
      <c r="B18" s="75"/>
      <c r="C18" s="76"/>
      <c r="D18" s="75"/>
      <c r="E18" s="75"/>
      <c r="F18" s="96"/>
    </row>
    <row r="19" spans="2:6" x14ac:dyDescent="0.3">
      <c r="B19" s="48" t="s">
        <v>21</v>
      </c>
      <c r="C19" s="49"/>
      <c r="D19" s="50"/>
      <c r="E19" s="44"/>
      <c r="F19" s="46"/>
    </row>
    <row r="20" spans="2:6" x14ac:dyDescent="0.3">
      <c r="B20" s="1" t="s">
        <v>22</v>
      </c>
      <c r="C20" s="1"/>
      <c r="D20" s="71">
        <v>0.64600000000000002</v>
      </c>
      <c r="E20" s="1"/>
      <c r="F20" s="6" t="s">
        <v>10</v>
      </c>
    </row>
    <row r="21" spans="2:6" x14ac:dyDescent="0.3">
      <c r="B21" s="1" t="s">
        <v>23</v>
      </c>
      <c r="C21" s="1"/>
      <c r="D21" s="18">
        <f>5.02</f>
        <v>5.0199999999999996</v>
      </c>
      <c r="E21" s="1"/>
      <c r="F21" s="6" t="s">
        <v>10</v>
      </c>
    </row>
    <row r="22" spans="2:6" x14ac:dyDescent="0.3">
      <c r="B22" s="2" t="s">
        <v>24</v>
      </c>
      <c r="C22" s="2"/>
      <c r="D22" s="2">
        <f>3.34</f>
        <v>3.34</v>
      </c>
      <c r="E22" s="2"/>
      <c r="F22" s="7" t="s">
        <v>25</v>
      </c>
    </row>
    <row r="23" spans="2:6" x14ac:dyDescent="0.3">
      <c r="B23" s="2" t="s">
        <v>26</v>
      </c>
      <c r="C23" s="2"/>
      <c r="D23" s="2">
        <v>7.5</v>
      </c>
      <c r="E23" s="2" t="s">
        <v>10</v>
      </c>
      <c r="F23" s="7" t="s">
        <v>10</v>
      </c>
    </row>
    <row r="24" spans="2:6" x14ac:dyDescent="0.3">
      <c r="B24" s="2" t="s">
        <v>27</v>
      </c>
      <c r="C24" s="2"/>
      <c r="D24" s="2">
        <v>0.4</v>
      </c>
      <c r="E24" s="2" t="s">
        <v>10</v>
      </c>
      <c r="F24" s="7" t="s">
        <v>10</v>
      </c>
    </row>
    <row r="25" spans="2:6" x14ac:dyDescent="0.3">
      <c r="B25" s="2" t="s">
        <v>28</v>
      </c>
      <c r="C25" s="2"/>
      <c r="D25" s="2">
        <v>0.9</v>
      </c>
      <c r="E25" s="2" t="s">
        <v>10</v>
      </c>
      <c r="F25" s="7" t="s">
        <v>10</v>
      </c>
    </row>
    <row r="26" spans="2:6" x14ac:dyDescent="0.3">
      <c r="B26" s="2" t="s">
        <v>29</v>
      </c>
      <c r="C26" s="2"/>
      <c r="D26" s="2"/>
      <c r="E26" s="2"/>
      <c r="F26" s="7" t="s">
        <v>10</v>
      </c>
    </row>
    <row r="27" spans="2:6" x14ac:dyDescent="0.3">
      <c r="B27" s="1" t="s">
        <v>30</v>
      </c>
      <c r="C27" s="1"/>
      <c r="D27" s="71">
        <v>0.21249999999999999</v>
      </c>
      <c r="E27" s="1"/>
      <c r="F27" s="6" t="s">
        <v>10</v>
      </c>
    </row>
    <row r="28" spans="2:6" x14ac:dyDescent="0.3">
      <c r="B28" s="2" t="s">
        <v>31</v>
      </c>
      <c r="C28" s="2"/>
      <c r="D28" s="2">
        <v>2.74</v>
      </c>
      <c r="E28" s="2"/>
      <c r="F28" s="7" t="s">
        <v>10</v>
      </c>
    </row>
    <row r="29" spans="2:6" x14ac:dyDescent="0.3">
      <c r="B29" s="2" t="s">
        <v>32</v>
      </c>
      <c r="C29" s="2"/>
      <c r="D29" s="2">
        <v>1.1279999999999999</v>
      </c>
      <c r="E29" s="2"/>
      <c r="F29" s="7" t="s">
        <v>10</v>
      </c>
    </row>
    <row r="30" spans="2:6" x14ac:dyDescent="0.3">
      <c r="B30" s="2" t="s">
        <v>33</v>
      </c>
      <c r="C30" s="2"/>
      <c r="D30" s="2">
        <v>6.7</v>
      </c>
      <c r="E30" s="2" t="s">
        <v>10</v>
      </c>
      <c r="F30" s="7" t="s">
        <v>10</v>
      </c>
    </row>
    <row r="31" spans="2:6" x14ac:dyDescent="0.3">
      <c r="B31" s="2" t="s">
        <v>34</v>
      </c>
      <c r="C31" s="2"/>
      <c r="D31" s="2">
        <v>0.5</v>
      </c>
      <c r="E31" s="2" t="s">
        <v>10</v>
      </c>
      <c r="F31" s="7" t="s">
        <v>10</v>
      </c>
    </row>
    <row r="32" spans="2:6" x14ac:dyDescent="0.3">
      <c r="B32" s="2" t="s">
        <v>35</v>
      </c>
      <c r="C32" s="2"/>
      <c r="D32" s="2">
        <v>0.9</v>
      </c>
      <c r="E32" s="2" t="s">
        <v>10</v>
      </c>
      <c r="F32" s="7" t="s">
        <v>10</v>
      </c>
    </row>
    <row r="33" spans="2:6" x14ac:dyDescent="0.3">
      <c r="B33" s="2" t="s">
        <v>36</v>
      </c>
      <c r="C33" s="2"/>
      <c r="D33" s="2"/>
      <c r="E33" s="2"/>
      <c r="F33" s="7" t="s">
        <v>10</v>
      </c>
    </row>
    <row r="34" spans="2:6" x14ac:dyDescent="0.3">
      <c r="B34" s="2" t="s">
        <v>37</v>
      </c>
      <c r="C34" s="2"/>
      <c r="D34" s="19">
        <f>0.15*D20</f>
        <v>9.69E-2</v>
      </c>
      <c r="E34" s="2"/>
      <c r="F34" s="7" t="s">
        <v>10</v>
      </c>
    </row>
    <row r="35" spans="2:6" x14ac:dyDescent="0.3">
      <c r="B35" s="2" t="s">
        <v>38</v>
      </c>
      <c r="C35" s="2"/>
      <c r="D35" s="2">
        <v>0</v>
      </c>
      <c r="E35" s="2"/>
      <c r="F35" s="7" t="s">
        <v>10</v>
      </c>
    </row>
    <row r="36" spans="2:6" x14ac:dyDescent="0.3">
      <c r="B36" s="2" t="s">
        <v>39</v>
      </c>
      <c r="C36" s="2"/>
      <c r="D36" s="2">
        <v>-0.06</v>
      </c>
      <c r="E36" s="2"/>
      <c r="F36" s="7" t="s">
        <v>10</v>
      </c>
    </row>
    <row r="37" spans="2:6" x14ac:dyDescent="0.3">
      <c r="B37" s="2" t="s">
        <v>40</v>
      </c>
      <c r="C37" s="2"/>
      <c r="D37" s="17" t="s">
        <v>41</v>
      </c>
      <c r="E37" s="2"/>
      <c r="F37" s="7" t="s">
        <v>42</v>
      </c>
    </row>
    <row r="38" spans="2:6" x14ac:dyDescent="0.3">
      <c r="B38" s="3" t="s">
        <v>43</v>
      </c>
      <c r="C38" s="3"/>
      <c r="D38" s="2">
        <v>0</v>
      </c>
      <c r="E38" s="2"/>
      <c r="F38" s="7" t="s">
        <v>44</v>
      </c>
    </row>
    <row r="39" spans="2:6" x14ac:dyDescent="0.3">
      <c r="B39" s="25" t="s">
        <v>45</v>
      </c>
      <c r="C39" s="25"/>
      <c r="D39" s="25">
        <v>13</v>
      </c>
      <c r="E39" s="11"/>
      <c r="F39" s="13" t="s">
        <v>46</v>
      </c>
    </row>
    <row r="40" spans="2:6" x14ac:dyDescent="0.3">
      <c r="B40" s="25" t="s">
        <v>47</v>
      </c>
      <c r="C40" s="25"/>
      <c r="D40" s="25">
        <v>-3.75</v>
      </c>
      <c r="E40" s="11"/>
      <c r="F40" s="13" t="s">
        <v>10</v>
      </c>
    </row>
    <row r="41" spans="2:6" x14ac:dyDescent="0.3">
      <c r="B41" s="25" t="s">
        <v>48</v>
      </c>
      <c r="C41" s="25"/>
      <c r="D41" s="25">
        <v>-4.25</v>
      </c>
      <c r="E41" s="11"/>
      <c r="F41" s="13" t="s">
        <v>10</v>
      </c>
    </row>
    <row r="42" spans="2:6" x14ac:dyDescent="0.3">
      <c r="B42" s="25" t="s">
        <v>49</v>
      </c>
      <c r="C42" s="25"/>
      <c r="D42" s="25">
        <v>4.5</v>
      </c>
      <c r="E42" s="11"/>
      <c r="F42" s="13" t="s">
        <v>10</v>
      </c>
    </row>
    <row r="43" spans="2:6" x14ac:dyDescent="0.3">
      <c r="B43" s="25" t="s">
        <v>50</v>
      </c>
      <c r="C43" s="25"/>
      <c r="D43" s="25">
        <v>2.75</v>
      </c>
      <c r="E43" s="11"/>
      <c r="F43" s="13" t="s">
        <v>10</v>
      </c>
    </row>
    <row r="44" spans="2:6" x14ac:dyDescent="0.3">
      <c r="B44" s="25" t="s">
        <v>51</v>
      </c>
      <c r="C44" s="25"/>
      <c r="D44" s="25">
        <v>0</v>
      </c>
      <c r="E44" s="11"/>
      <c r="F44" s="13" t="s">
        <v>52</v>
      </c>
    </row>
    <row r="45" spans="2:6" x14ac:dyDescent="0.3">
      <c r="B45" s="48" t="s">
        <v>53</v>
      </c>
      <c r="C45" s="49"/>
      <c r="D45" s="50"/>
      <c r="E45" s="44"/>
      <c r="F45" s="46"/>
    </row>
    <row r="46" spans="2:6" x14ac:dyDescent="0.3">
      <c r="B46" s="3" t="s">
        <v>54</v>
      </c>
      <c r="C46" s="3"/>
      <c r="D46" s="2">
        <v>28</v>
      </c>
      <c r="E46" s="2"/>
      <c r="F46" s="7" t="s">
        <v>55</v>
      </c>
    </row>
    <row r="47" spans="2:6" x14ac:dyDescent="0.3">
      <c r="B47" s="27" t="s">
        <v>56</v>
      </c>
      <c r="C47" s="51"/>
      <c r="D47" s="51">
        <f>1.25*D46</f>
        <v>35</v>
      </c>
      <c r="E47" s="28"/>
      <c r="F47" s="52" t="s">
        <v>57</v>
      </c>
    </row>
    <row r="48" spans="2:6" x14ac:dyDescent="0.3">
      <c r="B48" s="3" t="s">
        <v>58</v>
      </c>
      <c r="C48" s="3"/>
      <c r="D48" s="12">
        <v>0.8</v>
      </c>
      <c r="E48" s="2"/>
      <c r="F48" s="7" t="s">
        <v>59</v>
      </c>
    </row>
    <row r="49" spans="2:6" x14ac:dyDescent="0.3">
      <c r="B49" s="3" t="s">
        <v>60</v>
      </c>
      <c r="C49" s="3"/>
      <c r="D49" s="12" t="s">
        <v>61</v>
      </c>
      <c r="E49" s="2"/>
      <c r="F49" s="7" t="s">
        <v>62</v>
      </c>
    </row>
    <row r="50" spans="2:6" x14ac:dyDescent="0.3">
      <c r="B50" s="3" t="s">
        <v>63</v>
      </c>
      <c r="C50" s="3"/>
      <c r="D50" s="12" t="s">
        <v>64</v>
      </c>
      <c r="E50" s="2"/>
      <c r="F50" s="7" t="s">
        <v>62</v>
      </c>
    </row>
    <row r="51" spans="2:6" x14ac:dyDescent="0.3">
      <c r="B51" s="3" t="s">
        <v>65</v>
      </c>
      <c r="C51" s="3"/>
      <c r="D51" s="70" t="s">
        <v>66</v>
      </c>
      <c r="E51" s="2"/>
      <c r="F51" s="7" t="s">
        <v>67</v>
      </c>
    </row>
    <row r="52" spans="2:6" x14ac:dyDescent="0.3">
      <c r="B52" s="48" t="s">
        <v>68</v>
      </c>
      <c r="C52" s="49"/>
      <c r="D52" s="50"/>
      <c r="E52" s="44"/>
      <c r="F52" s="46"/>
    </row>
    <row r="53" spans="2:6" x14ac:dyDescent="0.3">
      <c r="B53" s="25" t="s">
        <v>69</v>
      </c>
      <c r="C53" s="25"/>
      <c r="D53" s="35" t="s">
        <v>70</v>
      </c>
      <c r="E53" s="25"/>
      <c r="F53" s="26" t="s">
        <v>10</v>
      </c>
    </row>
    <row r="54" spans="2:6" x14ac:dyDescent="0.3">
      <c r="B54" s="2" t="s">
        <v>71</v>
      </c>
      <c r="C54" s="2"/>
      <c r="D54" s="17" t="s">
        <v>72</v>
      </c>
      <c r="E54" s="2"/>
      <c r="F54" s="7" t="s">
        <v>10</v>
      </c>
    </row>
    <row r="55" spans="2:6" x14ac:dyDescent="0.3">
      <c r="B55" s="2" t="s">
        <v>73</v>
      </c>
      <c r="C55" s="2"/>
      <c r="D55" s="17" t="s">
        <v>74</v>
      </c>
      <c r="E55" s="2"/>
      <c r="F55" s="7"/>
    </row>
    <row r="56" spans="2:6" x14ac:dyDescent="0.3">
      <c r="B56" s="74" t="s">
        <v>75</v>
      </c>
      <c r="C56" s="74"/>
      <c r="D56" s="74"/>
      <c r="E56" s="74" t="s">
        <v>76</v>
      </c>
      <c r="F56" s="79"/>
    </row>
    <row r="57" spans="2:6" x14ac:dyDescent="0.3">
      <c r="B57" s="88"/>
      <c r="C57" s="88"/>
      <c r="D57" s="88"/>
      <c r="E57" s="88"/>
      <c r="F57" s="100"/>
    </row>
    <row r="58" spans="2:6" x14ac:dyDescent="0.3">
      <c r="B58" s="48" t="s">
        <v>77</v>
      </c>
      <c r="C58" s="49"/>
      <c r="D58" s="45"/>
      <c r="E58" s="44"/>
      <c r="F58" s="46"/>
    </row>
    <row r="59" spans="2:6" x14ac:dyDescent="0.3">
      <c r="B59" s="2" t="s">
        <v>78</v>
      </c>
      <c r="C59" s="2"/>
      <c r="D59" s="2" t="s">
        <v>79</v>
      </c>
      <c r="E59" s="3" t="s">
        <v>10</v>
      </c>
      <c r="F59" s="8" t="s">
        <v>80</v>
      </c>
    </row>
    <row r="60" spans="2:6" x14ac:dyDescent="0.3">
      <c r="B60" s="2" t="s">
        <v>81</v>
      </c>
      <c r="C60" s="2"/>
      <c r="D60" s="2" t="s">
        <v>79</v>
      </c>
      <c r="E60" s="3" t="s">
        <v>10</v>
      </c>
      <c r="F60" s="8" t="s">
        <v>82</v>
      </c>
    </row>
    <row r="61" spans="2:6" x14ac:dyDescent="0.3">
      <c r="B61" s="24" t="s">
        <v>83</v>
      </c>
      <c r="C61" s="24"/>
      <c r="D61" s="24">
        <v>3.0599999999999999E-2</v>
      </c>
      <c r="E61" s="47" t="s">
        <v>10</v>
      </c>
      <c r="F61" s="8" t="s">
        <v>10</v>
      </c>
    </row>
    <row r="62" spans="2:6" x14ac:dyDescent="0.3">
      <c r="B62" s="74" t="s">
        <v>84</v>
      </c>
      <c r="C62" s="74"/>
      <c r="D62" s="86"/>
      <c r="E62" s="74" t="s">
        <v>10</v>
      </c>
      <c r="F62" s="79" t="s">
        <v>10</v>
      </c>
    </row>
    <row r="63" spans="2:6" x14ac:dyDescent="0.3">
      <c r="B63" s="76"/>
      <c r="C63" s="76"/>
      <c r="D63" s="87"/>
      <c r="E63" s="76"/>
      <c r="F63" s="81"/>
    </row>
    <row r="64" spans="2:6" x14ac:dyDescent="0.3">
      <c r="B64" s="74" t="s">
        <v>85</v>
      </c>
      <c r="C64" s="98"/>
      <c r="D64" s="86"/>
      <c r="E64" s="89" t="s">
        <v>10</v>
      </c>
      <c r="F64" s="79" t="s">
        <v>10</v>
      </c>
    </row>
    <row r="65" spans="2:6" x14ac:dyDescent="0.3">
      <c r="B65" s="76"/>
      <c r="C65" s="99"/>
      <c r="D65" s="87"/>
      <c r="E65" s="90"/>
      <c r="F65" s="81"/>
    </row>
    <row r="66" spans="2:6" x14ac:dyDescent="0.3">
      <c r="B66" s="74" t="s">
        <v>86</v>
      </c>
      <c r="C66" s="74"/>
      <c r="D66" s="84"/>
      <c r="E66" s="74" t="s">
        <v>10</v>
      </c>
      <c r="F66" s="79" t="s">
        <v>87</v>
      </c>
    </row>
    <row r="67" spans="2:6" x14ac:dyDescent="0.3">
      <c r="B67" s="75"/>
      <c r="C67" s="75"/>
      <c r="D67" s="84"/>
      <c r="E67" s="75"/>
      <c r="F67" s="80"/>
    </row>
    <row r="68" spans="2:6" x14ac:dyDescent="0.3">
      <c r="B68" s="76"/>
      <c r="C68" s="76"/>
      <c r="D68" s="85"/>
      <c r="E68" s="76"/>
      <c r="F68" s="81"/>
    </row>
    <row r="69" spans="2:6" x14ac:dyDescent="0.3">
      <c r="B69" s="74" t="s">
        <v>88</v>
      </c>
      <c r="C69" s="74"/>
      <c r="D69" s="97"/>
      <c r="E69" s="74" t="s">
        <v>10</v>
      </c>
      <c r="F69" s="79" t="s">
        <v>89</v>
      </c>
    </row>
    <row r="70" spans="2:6" x14ac:dyDescent="0.3">
      <c r="B70" s="75"/>
      <c r="C70" s="75"/>
      <c r="D70" s="84"/>
      <c r="E70" s="75"/>
      <c r="F70" s="80"/>
    </row>
    <row r="71" spans="2:6" x14ac:dyDescent="0.3">
      <c r="B71" s="76"/>
      <c r="C71" s="76"/>
      <c r="D71" s="85"/>
      <c r="E71" s="76"/>
      <c r="F71" s="81"/>
    </row>
    <row r="72" spans="2:6" x14ac:dyDescent="0.3">
      <c r="B72" s="74" t="s">
        <v>90</v>
      </c>
      <c r="C72" s="74"/>
      <c r="D72" s="74"/>
      <c r="E72" s="74" t="s">
        <v>10</v>
      </c>
      <c r="F72" s="79" t="s">
        <v>91</v>
      </c>
    </row>
    <row r="73" spans="2:6" x14ac:dyDescent="0.3">
      <c r="B73" s="75"/>
      <c r="C73" s="75"/>
      <c r="D73" s="75"/>
      <c r="E73" s="75"/>
      <c r="F73" s="80"/>
    </row>
    <row r="74" spans="2:6" x14ac:dyDescent="0.3">
      <c r="B74" s="76"/>
      <c r="C74" s="76"/>
      <c r="D74" s="76"/>
      <c r="E74" s="76"/>
      <c r="F74" s="81"/>
    </row>
    <row r="75" spans="2:6" x14ac:dyDescent="0.3">
      <c r="B75" s="74" t="s">
        <v>92</v>
      </c>
      <c r="C75" s="74"/>
      <c r="D75" s="74"/>
      <c r="E75" s="74" t="s">
        <v>10</v>
      </c>
      <c r="F75" s="79" t="s">
        <v>89</v>
      </c>
    </row>
    <row r="76" spans="2:6" x14ac:dyDescent="0.3">
      <c r="B76" s="75"/>
      <c r="C76" s="75"/>
      <c r="D76" s="75"/>
      <c r="E76" s="75"/>
      <c r="F76" s="80"/>
    </row>
    <row r="77" spans="2:6" x14ac:dyDescent="0.3">
      <c r="B77" s="75"/>
      <c r="C77" s="75"/>
      <c r="D77" s="75"/>
      <c r="E77" s="75"/>
      <c r="F77" s="80"/>
    </row>
    <row r="78" spans="2:6" x14ac:dyDescent="0.3">
      <c r="B78" s="48" t="s">
        <v>93</v>
      </c>
      <c r="C78" s="44"/>
      <c r="D78" s="45"/>
      <c r="E78" s="44"/>
      <c r="F78" s="46"/>
    </row>
    <row r="79" spans="2:6" x14ac:dyDescent="0.3">
      <c r="B79" s="9" t="s">
        <v>94</v>
      </c>
      <c r="C79" s="14"/>
      <c r="D79" s="14">
        <f>0.519</f>
        <v>0.51900000000000002</v>
      </c>
      <c r="E79" s="16"/>
      <c r="F79" s="15" t="s">
        <v>59</v>
      </c>
    </row>
    <row r="80" spans="2:6" x14ac:dyDescent="0.3">
      <c r="B80" s="9" t="s">
        <v>95</v>
      </c>
      <c r="C80" s="14"/>
      <c r="D80" s="23" t="s">
        <v>96</v>
      </c>
      <c r="E80" s="16"/>
      <c r="F80" s="15" t="s">
        <v>97</v>
      </c>
    </row>
    <row r="81" spans="2:6" x14ac:dyDescent="0.3">
      <c r="B81" s="9" t="s">
        <v>98</v>
      </c>
      <c r="C81" s="20"/>
      <c r="D81" s="20">
        <f>0.285</f>
        <v>0.28499999999999998</v>
      </c>
      <c r="E81" s="16"/>
      <c r="F81" s="15" t="s">
        <v>59</v>
      </c>
    </row>
    <row r="82" spans="2:6" x14ac:dyDescent="0.3">
      <c r="B82" s="9" t="s">
        <v>99</v>
      </c>
      <c r="C82" s="11"/>
      <c r="D82" s="21">
        <v>-5</v>
      </c>
      <c r="E82" s="11"/>
      <c r="F82" s="13" t="s">
        <v>100</v>
      </c>
    </row>
    <row r="83" spans="2:6" x14ac:dyDescent="0.3">
      <c r="B83" s="11" t="s">
        <v>101</v>
      </c>
      <c r="C83" s="11"/>
      <c r="D83" s="21">
        <v>217</v>
      </c>
      <c r="E83" s="11"/>
      <c r="F83" s="13" t="s">
        <v>102</v>
      </c>
    </row>
    <row r="84" spans="2:6" x14ac:dyDescent="0.3">
      <c r="B84" s="11" t="s">
        <v>103</v>
      </c>
      <c r="C84" s="11" t="s">
        <v>104</v>
      </c>
      <c r="D84" s="21"/>
      <c r="E84" s="11" t="s">
        <v>104</v>
      </c>
      <c r="F84" s="13" t="s">
        <v>10</v>
      </c>
    </row>
    <row r="85" spans="2:6" x14ac:dyDescent="0.3">
      <c r="B85" s="4"/>
      <c r="D85" s="22"/>
    </row>
    <row r="86" spans="2:6" x14ac:dyDescent="0.3">
      <c r="B86" s="91" t="s">
        <v>105</v>
      </c>
      <c r="C86" s="92"/>
      <c r="D86" s="54"/>
      <c r="E86" s="53"/>
      <c r="F86" s="55"/>
    </row>
    <row r="87" spans="2:6" x14ac:dyDescent="0.3">
      <c r="B87" s="56" t="s">
        <v>106</v>
      </c>
      <c r="C87" s="58" t="s">
        <v>107</v>
      </c>
      <c r="D87" s="60"/>
      <c r="E87" s="60"/>
      <c r="F87" s="61"/>
    </row>
    <row r="88" spans="2:6" x14ac:dyDescent="0.3">
      <c r="B88" s="56" t="s">
        <v>108</v>
      </c>
      <c r="C88" s="58" t="s">
        <v>109</v>
      </c>
      <c r="E88"/>
      <c r="F88" s="62"/>
    </row>
    <row r="89" spans="2:6" x14ac:dyDescent="0.3">
      <c r="B89" s="56" t="s">
        <v>110</v>
      </c>
      <c r="C89" s="58" t="s">
        <v>111</v>
      </c>
      <c r="E89"/>
      <c r="F89" s="62"/>
    </row>
    <row r="90" spans="2:6" x14ac:dyDescent="0.3">
      <c r="B90" s="56" t="s">
        <v>112</v>
      </c>
      <c r="C90" s="58" t="s">
        <v>113</v>
      </c>
      <c r="E90"/>
      <c r="F90" s="62"/>
    </row>
    <row r="91" spans="2:6" x14ac:dyDescent="0.3">
      <c r="B91" s="56" t="s">
        <v>114</v>
      </c>
      <c r="C91" s="58" t="s">
        <v>115</v>
      </c>
      <c r="E91"/>
      <c r="F91" s="62"/>
    </row>
    <row r="92" spans="2:6" x14ac:dyDescent="0.3">
      <c r="B92" s="56" t="s">
        <v>116</v>
      </c>
      <c r="C92" s="58" t="s">
        <v>117</v>
      </c>
      <c r="E92"/>
      <c r="F92" s="62"/>
    </row>
    <row r="93" spans="2:6" x14ac:dyDescent="0.3">
      <c r="B93" s="56" t="s">
        <v>118</v>
      </c>
      <c r="C93" s="58" t="s">
        <v>119</v>
      </c>
      <c r="E93"/>
      <c r="F93" s="62"/>
    </row>
    <row r="94" spans="2:6" x14ac:dyDescent="0.3">
      <c r="B94" s="56" t="s">
        <v>120</v>
      </c>
      <c r="C94" s="58" t="s">
        <v>121</v>
      </c>
      <c r="F94" s="62"/>
    </row>
    <row r="95" spans="2:6" x14ac:dyDescent="0.3">
      <c r="B95" s="56" t="s">
        <v>122</v>
      </c>
      <c r="C95" s="58" t="s">
        <v>123</v>
      </c>
      <c r="F95" s="62"/>
    </row>
    <row r="96" spans="2:6" x14ac:dyDescent="0.3">
      <c r="B96" s="56" t="s">
        <v>124</v>
      </c>
      <c r="C96" s="58" t="s">
        <v>125</v>
      </c>
      <c r="E96"/>
      <c r="F96" s="62"/>
    </row>
    <row r="97" spans="2:6" x14ac:dyDescent="0.3">
      <c r="B97" s="56" t="s">
        <v>126</v>
      </c>
      <c r="C97" s="58" t="s">
        <v>127</v>
      </c>
      <c r="E97"/>
      <c r="F97" s="62"/>
    </row>
    <row r="98" spans="2:6" x14ac:dyDescent="0.3">
      <c r="B98" s="56" t="s">
        <v>128</v>
      </c>
      <c r="C98" s="58" t="s">
        <v>129</v>
      </c>
      <c r="E98"/>
      <c r="F98" s="62"/>
    </row>
    <row r="99" spans="2:6" x14ac:dyDescent="0.3">
      <c r="B99" s="56" t="s">
        <v>130</v>
      </c>
      <c r="C99" s="58" t="s">
        <v>40</v>
      </c>
      <c r="E99"/>
      <c r="F99" s="62"/>
    </row>
    <row r="100" spans="2:6" x14ac:dyDescent="0.3">
      <c r="B100" s="56" t="s">
        <v>131</v>
      </c>
      <c r="C100" s="58" t="s">
        <v>132</v>
      </c>
      <c r="E100"/>
      <c r="F100" s="62"/>
    </row>
    <row r="101" spans="2:6" x14ac:dyDescent="0.3">
      <c r="B101" s="56" t="s">
        <v>133</v>
      </c>
      <c r="C101" s="58" t="s">
        <v>134</v>
      </c>
      <c r="E101"/>
      <c r="F101" s="62"/>
    </row>
    <row r="102" spans="2:6" x14ac:dyDescent="0.3">
      <c r="B102" s="56" t="s">
        <v>135</v>
      </c>
      <c r="C102" s="58" t="s">
        <v>136</v>
      </c>
      <c r="E102"/>
      <c r="F102" s="62"/>
    </row>
    <row r="103" spans="2:6" x14ac:dyDescent="0.3">
      <c r="B103" s="56" t="s">
        <v>137</v>
      </c>
      <c r="C103" s="58" t="s">
        <v>138</v>
      </c>
      <c r="E103"/>
      <c r="F103" s="62"/>
    </row>
    <row r="104" spans="2:6" x14ac:dyDescent="0.3">
      <c r="B104" s="56" t="s">
        <v>139</v>
      </c>
      <c r="C104" s="58" t="s">
        <v>13</v>
      </c>
      <c r="E104"/>
      <c r="F104" s="62"/>
    </row>
    <row r="105" spans="2:6" x14ac:dyDescent="0.3">
      <c r="B105" s="57" t="s">
        <v>140</v>
      </c>
      <c r="C105" s="59" t="s">
        <v>141</v>
      </c>
      <c r="D105" s="63"/>
      <c r="E105" s="63"/>
      <c r="F105" s="64"/>
    </row>
    <row r="106" spans="2:6" x14ac:dyDescent="0.3">
      <c r="B106" s="4"/>
      <c r="D106" s="22"/>
    </row>
  </sheetData>
  <mergeCells count="46">
    <mergeCell ref="D64:D65"/>
    <mergeCell ref="E56:E57"/>
    <mergeCell ref="F56:F57"/>
    <mergeCell ref="E62:E63"/>
    <mergeCell ref="F62:F63"/>
    <mergeCell ref="D56:D57"/>
    <mergeCell ref="E64:E65"/>
    <mergeCell ref="F64:F65"/>
    <mergeCell ref="B86:C86"/>
    <mergeCell ref="E4:E5"/>
    <mergeCell ref="F4:F5"/>
    <mergeCell ref="B15:B18"/>
    <mergeCell ref="D15:D18"/>
    <mergeCell ref="E15:E18"/>
    <mergeCell ref="F15:F18"/>
    <mergeCell ref="E66:E68"/>
    <mergeCell ref="F66:F68"/>
    <mergeCell ref="B69:B71"/>
    <mergeCell ref="D69:D71"/>
    <mergeCell ref="B2:B3"/>
    <mergeCell ref="B66:B68"/>
    <mergeCell ref="D66:D68"/>
    <mergeCell ref="B4:B5"/>
    <mergeCell ref="B62:B63"/>
    <mergeCell ref="C62:C63"/>
    <mergeCell ref="D62:D63"/>
    <mergeCell ref="B56:B57"/>
    <mergeCell ref="B64:B65"/>
    <mergeCell ref="C64:C65"/>
    <mergeCell ref="F69:F71"/>
    <mergeCell ref="F72:F74"/>
    <mergeCell ref="B72:B74"/>
    <mergeCell ref="D72:D74"/>
    <mergeCell ref="E72:E74"/>
    <mergeCell ref="E69:E71"/>
    <mergeCell ref="F75:F77"/>
    <mergeCell ref="E75:E77"/>
    <mergeCell ref="D75:D77"/>
    <mergeCell ref="B75:B77"/>
    <mergeCell ref="C15:C18"/>
    <mergeCell ref="C4:C5"/>
    <mergeCell ref="C66:C68"/>
    <mergeCell ref="C69:C71"/>
    <mergeCell ref="C72:C74"/>
    <mergeCell ref="C75:C77"/>
    <mergeCell ref="C56:C5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E275-861C-4EAE-BCE9-08AFA86A7E14}">
  <dimension ref="B2:L26"/>
  <sheetViews>
    <sheetView showGridLines="0" zoomScale="145" zoomScaleNormal="145" workbookViewId="0"/>
  </sheetViews>
  <sheetFormatPr defaultRowHeight="14.4" x14ac:dyDescent="0.3"/>
  <cols>
    <col min="1" max="1" width="3.6640625" customWidth="1"/>
  </cols>
  <sheetData>
    <row r="2" spans="2:12" x14ac:dyDescent="0.3">
      <c r="B2" s="66" t="s">
        <v>142</v>
      </c>
    </row>
    <row r="3" spans="2:12" x14ac:dyDescent="0.3">
      <c r="B3" s="65" t="s">
        <v>143</v>
      </c>
    </row>
    <row r="4" spans="2:12" x14ac:dyDescent="0.3">
      <c r="B4" s="69" t="s">
        <v>144</v>
      </c>
    </row>
    <row r="7" spans="2:12" x14ac:dyDescent="0.3">
      <c r="B7" s="66" t="s">
        <v>145</v>
      </c>
      <c r="L7" s="66" t="s">
        <v>146</v>
      </c>
    </row>
    <row r="8" spans="2:12" x14ac:dyDescent="0.3">
      <c r="B8" s="65"/>
    </row>
    <row r="12" spans="2:12" x14ac:dyDescent="0.3">
      <c r="B12" s="65"/>
    </row>
    <row r="13" spans="2:12" x14ac:dyDescent="0.3">
      <c r="B13" s="65"/>
    </row>
    <row r="14" spans="2:12" x14ac:dyDescent="0.3">
      <c r="B14" s="65"/>
    </row>
    <row r="15" spans="2:12" x14ac:dyDescent="0.3">
      <c r="B15" s="65"/>
    </row>
    <row r="16" spans="2:12" x14ac:dyDescent="0.3">
      <c r="B16" s="65"/>
    </row>
    <row r="19" spans="2:12" x14ac:dyDescent="0.3">
      <c r="B19" s="65"/>
    </row>
    <row r="20" spans="2:12" x14ac:dyDescent="0.3">
      <c r="B20" s="65"/>
    </row>
    <row r="24" spans="2:12" x14ac:dyDescent="0.3">
      <c r="B24" s="67"/>
    </row>
    <row r="26" spans="2:12" x14ac:dyDescent="0.3">
      <c r="L26" s="68"/>
    </row>
  </sheetData>
  <hyperlinks>
    <hyperlink ref="B4" r:id="rId1" xr:uid="{A6033158-29E1-475C-8385-730E60F30E79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F09D-A657-481F-BD84-E5F72C20FB81}">
  <sheetPr>
    <tabColor rgb="FFFF0000"/>
  </sheetPr>
  <dimension ref="B1:L34"/>
  <sheetViews>
    <sheetView showGridLines="0" zoomScale="145" zoomScaleNormal="145" workbookViewId="0"/>
  </sheetViews>
  <sheetFormatPr defaultRowHeight="14.4" x14ac:dyDescent="0.3"/>
  <cols>
    <col min="1" max="1" width="3.6640625" customWidth="1"/>
  </cols>
  <sheetData>
    <row r="1" spans="2:12" s="72" customFormat="1" x14ac:dyDescent="0.3"/>
    <row r="2" spans="2:12" x14ac:dyDescent="0.3">
      <c r="B2" s="66" t="s">
        <v>142</v>
      </c>
    </row>
    <row r="3" spans="2:12" x14ac:dyDescent="0.3">
      <c r="B3" s="65" t="s">
        <v>143</v>
      </c>
    </row>
    <row r="4" spans="2:12" x14ac:dyDescent="0.3">
      <c r="B4" s="69" t="s">
        <v>144</v>
      </c>
    </row>
    <row r="7" spans="2:12" x14ac:dyDescent="0.3">
      <c r="B7" s="66" t="s">
        <v>145</v>
      </c>
      <c r="L7" s="66" t="s">
        <v>146</v>
      </c>
    </row>
    <row r="8" spans="2:12" x14ac:dyDescent="0.3">
      <c r="B8" s="65"/>
    </row>
    <row r="12" spans="2:12" x14ac:dyDescent="0.3">
      <c r="B12" s="65"/>
    </row>
    <row r="13" spans="2:12" x14ac:dyDescent="0.3">
      <c r="B13" s="65"/>
    </row>
    <row r="14" spans="2:12" x14ac:dyDescent="0.3">
      <c r="B14" s="65"/>
    </row>
    <row r="15" spans="2:12" x14ac:dyDescent="0.3">
      <c r="B15" s="65"/>
    </row>
    <row r="16" spans="2:12" x14ac:dyDescent="0.3">
      <c r="B16" s="65"/>
    </row>
    <row r="19" spans="2:12" x14ac:dyDescent="0.3">
      <c r="B19" s="65"/>
    </row>
    <row r="20" spans="2:12" x14ac:dyDescent="0.3">
      <c r="B20" s="65"/>
    </row>
    <row r="24" spans="2:12" x14ac:dyDescent="0.3">
      <c r="B24" s="67"/>
    </row>
    <row r="26" spans="2:12" x14ac:dyDescent="0.3">
      <c r="L26" s="68"/>
    </row>
    <row r="34" s="72" customFormat="1" x14ac:dyDescent="0.3"/>
  </sheetData>
  <hyperlinks>
    <hyperlink ref="B4" r:id="rId1" xr:uid="{EFF81476-E147-4DC2-8F85-08AE1722154C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B831025BF00641AE88F2A902AAAF1B" ma:contentTypeVersion="15" ma:contentTypeDescription="Crear nuevo documento." ma:contentTypeScope="" ma:versionID="b037fb916334c98ac321efa39f1b7497">
  <xsd:schema xmlns:xsd="http://www.w3.org/2001/XMLSchema" xmlns:xs="http://www.w3.org/2001/XMLSchema" xmlns:p="http://schemas.microsoft.com/office/2006/metadata/properties" xmlns:ns2="bb558cda-a1e9-402d-85a7-045c16744a99" xmlns:ns3="a01b58d8-c5db-4160-879c-9baa1e9d5116" targetNamespace="http://schemas.microsoft.com/office/2006/metadata/properties" ma:root="true" ma:fieldsID="3cab5410f96dcce6e39607bd7734d4af" ns2:_="" ns3:_="">
    <xsd:import namespace="bb558cda-a1e9-402d-85a7-045c16744a99"/>
    <xsd:import namespace="a01b58d8-c5db-4160-879c-9baa1e9d511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58cda-a1e9-402d-85a7-045c16744a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995f865-371f-456e-8ebb-c54e34f11fc2}" ma:internalName="TaxCatchAll" ma:showField="CatchAllData" ma:web="bb558cda-a1e9-402d-85a7-045c16744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b58d8-c5db-4160-879c-9baa1e9d51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b79bab5-423c-41bb-b2a6-fa644551ea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558cda-a1e9-402d-85a7-045c16744a99" xsi:nil="true"/>
    <lcf76f155ced4ddcb4097134ff3c332f xmlns="a01b58d8-c5db-4160-879c-9baa1e9d51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673445-89A9-494B-A779-760896723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558cda-a1e9-402d-85a7-045c16744a99"/>
    <ds:schemaRef ds:uri="a01b58d8-c5db-4160-879c-9baa1e9d5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52F82B-B415-4BFF-9DF4-3DE502782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1F2CBA-706D-454F-AFC9-DCE6586A5E1C}">
  <ds:schemaRefs>
    <ds:schemaRef ds:uri="http://schemas.microsoft.com/office/2006/metadata/properties"/>
    <ds:schemaRef ds:uri="http://schemas.microsoft.com/office/infopath/2007/PartnerControls"/>
    <ds:schemaRef ds:uri="bb558cda-a1e9-402d-85a7-045c16744a99"/>
    <ds:schemaRef ds:uri="a01b58d8-c5db-4160-879c-9baa1e9d51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 Parameters</vt:lpstr>
      <vt:lpstr>L &amp; D Equations</vt:lpstr>
      <vt:lpstr>EQ - L &amp; D Equations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Sofija Ilic</cp:lastModifiedBy>
  <cp:revision/>
  <dcterms:created xsi:type="dcterms:W3CDTF">2023-10-31T10:49:04Z</dcterms:created>
  <dcterms:modified xsi:type="dcterms:W3CDTF">2024-05-16T07:55:47Z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0x0101004EB831025BF00641AE88F2A902AAAF1B</vt:lpwstr>
  </property>
  <property fmtid="{D5CDD505-2E9C-101B-9397-08002B2CF9AE}" pid="3" name="MediaServiceImageTags">
    <vt:lpwstr/>
  </property>
</Properties>
</file>